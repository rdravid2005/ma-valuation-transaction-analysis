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c25aa8ca0fa4dbf" /></Relationships>
</file>

<file path=xl/workbook.xml><?xml version="1.0" encoding="utf-8"?>
<x:workbook xmlns:x="http://schemas.openxmlformats.org/spreadsheetml/2006/main">
  <x:sheets>
    <x:sheet xmlns:r="http://schemas.openxmlformats.org/officeDocument/2006/relationships" name="Cover" sheetId="1" r:id="R07f9548a994643c2"/>
    <x:sheet xmlns:r="http://schemas.openxmlformats.org/officeDocument/2006/relationships" name="Control" sheetId="2" r:id="R44460d68c93e490a"/>
    <x:sheet xmlns:r="http://schemas.openxmlformats.org/officeDocument/2006/relationships" name="Sources" sheetId="3" r:id="Rec640185d77c4208"/>
    <x:sheet xmlns:r="http://schemas.openxmlformats.org/officeDocument/2006/relationships" name="ROK Historical" sheetId="4" r:id="R07661846d8ed4df7"/>
    <x:sheet xmlns:r="http://schemas.openxmlformats.org/officeDocument/2006/relationships" name="CGNX Historical" sheetId="5" r:id="R419c26e5b0154ce8"/>
    <x:sheet xmlns:r="http://schemas.openxmlformats.org/officeDocument/2006/relationships" name="CGNX Operating Model" sheetId="6" r:id="Rdb119bb981434ae3"/>
    <x:sheet xmlns:r="http://schemas.openxmlformats.org/officeDocument/2006/relationships" name="ROK Forecast" sheetId="7" r:id="R23b603b9622f4548"/>
    <x:sheet xmlns:r="http://schemas.openxmlformats.org/officeDocument/2006/relationships" name="DCF" sheetId="8" r:id="R154d2866cbed409d"/>
    <x:sheet xmlns:r="http://schemas.openxmlformats.org/officeDocument/2006/relationships" name="Trading Comps" sheetId="9" r:id="R1c564d5a7fbf4455"/>
    <x:sheet xmlns:r="http://schemas.openxmlformats.org/officeDocument/2006/relationships" name="Precedent Transactions" sheetId="10" r:id="Re8112b4112694336"/>
    <x:sheet xmlns:r="http://schemas.openxmlformats.org/officeDocument/2006/relationships" name="Valuation Summary" sheetId="11" r:id="Ra83a35549ac94976"/>
    <x:sheet xmlns:r="http://schemas.openxmlformats.org/officeDocument/2006/relationships" name="Sources &amp; Uses" sheetId="12" r:id="R49e21e59c38e4887"/>
    <x:sheet xmlns:r="http://schemas.openxmlformats.org/officeDocument/2006/relationships" name="Purchase Accounting" sheetId="13" r:id="R27ab496476a04455"/>
    <x:sheet xmlns:r="http://schemas.openxmlformats.org/officeDocument/2006/relationships" name="Accretion Dilution" sheetId="14" r:id="R4739deba96b24abe"/>
    <x:sheet xmlns:r="http://schemas.openxmlformats.org/officeDocument/2006/relationships" name="Synergies" sheetId="15" r:id="R18272b9c01834493"/>
    <x:sheet xmlns:r="http://schemas.openxmlformats.org/officeDocument/2006/relationships" name="Sensitivities" sheetId="16" r:id="R5c9e50199c864f29"/>
    <x:sheet xmlns:r="http://schemas.openxmlformats.org/officeDocument/2006/relationships" name="Checks" sheetId="17" r:id="Rb4ae5e17e35b4ac0"/>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5">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 numFmtId="224" formatCode="yyyy&quot;E&quot;"/>
  </x:numFmts>
  <x:fonts count="45">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s>
  <x:fills count="61">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s>
  <x:borders count="25">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
      <x:left style="thin">
        <x:color rgb="FFD9E1F2"/>
      </x:left>
      <x:right style="thin">
        <x:color rgb="FFD9E1F2"/>
      </x:right>
      <x:top style="thin">
        <x:color rgb="FFD9E1F2"/>
      </x:top>
      <x:bottom style="double">
        <x:color rgb="FF17365D"/>
      </x:bottom>
    </x:border>
  </x:borders>
  <x:cellStyleXfs count="1">
    <x:xf numFmtId="0" fontId="0" fillId="0" borderId="0"/>
  </x:cellStyleXfs>
  <x:cellXfs count="81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xf numFmtId="0" fontId="38" fillId="47" borderId="0" xfId="0" applyNumberFormat="1" applyFont="1" applyFill="1" applyBorder="1" applyAlignment="1">
      <x:alignment vertical="center"/>
    </x:xf>
    <x:xf numFmtId="0" fontId="33" fillId="47" borderId="0" xfId="0" applyNumberFormat="1" applyFont="1" applyFill="1" applyBorder="1" applyAlignment="1">
      <x:alignment vertical="center"/>
    </x:xf>
    <x:xf numFmtId="0" fontId="38" fillId="48" borderId="0" xfId="0" applyNumberFormat="1" applyFont="1" applyFill="1" applyBorder="1" applyAlignment="1">
      <x:alignment vertical="center"/>
    </x:xf>
    <x:xf numFmtId="0" fontId="34" fillId="48" borderId="0" xfId="0" applyNumberFormat="1" applyFont="1" applyFill="1" applyBorder="1" applyAlignment="1">
      <x:alignment vertical="center"/>
    </x:xf>
    <x:xf numFmtId="0" fontId="38" fillId="49" borderId="0" xfId="0" applyNumberFormat="1" applyFont="1" applyFill="1" applyBorder="1" applyAlignment="1">
      <x:alignment vertical="center"/>
    </x:xf>
    <x:xf numFmtId="0" fontId="35" fillId="49" borderId="0" xfId="0" applyNumberFormat="1" applyFont="1" applyFill="1" applyBorder="1" applyAlignment="1">
      <x:alignment vertical="center"/>
    </x:xf>
    <x:xf numFmtId="0" fontId="38" fillId="50" borderId="0" xfId="0" applyNumberFormat="1" applyFont="1" applyFill="1" applyBorder="1" applyAlignment="1">
      <x:alignment vertical="center"/>
    </x:xf>
    <x:xf numFmtId="0" fontId="19" fillId="50" borderId="0" xfId="0" applyNumberFormat="1" applyFont="1" applyFill="1" applyBorder="1" applyAlignment="1">
      <x:alignment vertical="center"/>
    </x:xf>
    <x:xf numFmtId="0" fontId="38" fillId="51" borderId="22" xfId="0" applyNumberFormat="1" applyFont="1" applyFill="1" applyBorder="1" applyAlignment="1">
      <x:alignment vertical="center"/>
    </x:xf>
    <x:xf numFmtId="0" fontId="36" fillId="51" borderId="22" xfId="0" applyNumberFormat="1" applyFont="1" applyFill="1" applyBorder="1" applyAlignment="1">
      <x:alignment vertical="center"/>
    </x:xf>
    <x:xf numFmtId="0" fontId="42" fillId="0" borderId="22" xfId="0" applyNumberFormat="1" applyFont="1" applyFill="1" applyBorder="1" applyAlignment="1">
      <x:alignment vertical="center"/>
    </x:xf>
    <x:xf numFmtId="0" fontId="37" fillId="52" borderId="22" xfId="0" applyNumberFormat="1" applyFont="1" applyFill="1" applyBorder="1" applyAlignment="1">
      <x:alignment vertical="center"/>
    </x:xf>
    <x:xf numFmtId="0" fontId="38" fillId="52" borderId="22" xfId="0" applyNumberFormat="1" applyFont="1" applyFill="1" applyBorder="1" applyAlignment="1">
      <x:alignment vertical="center"/>
    </x:xf>
    <x:xf numFmtId="0" fontId="40" fillId="52" borderId="22" xfId="0" applyNumberFormat="1" applyFont="1" applyFill="1" applyBorder="1" applyAlignment="1">
      <x:alignment vertical="center"/>
    </x:xf>
    <x:xf numFmtId="0" fontId="38" fillId="49" borderId="22" xfId="0" applyNumberFormat="1" applyFont="1" applyFill="1" applyBorder="1" applyAlignment="1">
      <x:alignment vertical="center"/>
    </x:xf>
    <x:xf numFmtId="0" fontId="41" fillId="49" borderId="22" xfId="0" applyNumberFormat="1" applyFont="1" applyFill="1" applyBorder="1" applyAlignment="1">
      <x:alignment vertical="center"/>
    </x:xf>
    <x:xf numFmtId="0" fontId="36" fillId="51" borderId="24" xfId="0" applyNumberFormat="1" applyFont="1" applyFill="1" applyBorder="1" applyAlignment="1">
      <x:alignment vertical="center"/>
    </x:xf>
    <x:xf numFmtId="0" fontId="38" fillId="0" borderId="24" xfId="0" applyNumberFormat="1" applyFont="1" applyFill="1" applyBorder="1" applyAlignment="1">
      <x:alignment vertical="center"/>
    </x:xf>
    <x:xf numFmtId="0" fontId="38" fillId="49" borderId="24" xfId="0" applyNumberFormat="1" applyFont="1" applyFill="1" applyBorder="1" applyAlignment="1">
      <x:alignment vertical="center"/>
    </x:xf>
    <x:xf numFmtId="0" fontId="41" fillId="49" borderId="24" xfId="0" applyNumberFormat="1" applyFont="1" applyFill="1" applyBorder="1" applyAlignment="1">
      <x:alignment vertical="center"/>
    </x:xf>
    <x:xf numFmtId="0" fontId="41" fillId="0" borderId="24" xfId="0" applyNumberFormat="1" applyFont="1" applyFill="1" applyBorder="1" applyAlignment="1">
      <x:alignment vertical="center"/>
    </x:xf>
    <x:xf numFmtId="0" fontId="41" fillId="0" borderId="0" xfId="0" applyNumberFormat="1" applyFont="1" applyFill="1" applyBorder="1" applyAlignment="1">
      <x:alignment vertical="center"/>
    </x:xf>
    <x:xf numFmtId="0" fontId="41" fillId="51" borderId="24" xfId="0" applyNumberFormat="1" applyFont="1" applyFill="1" applyBorder="1" applyAlignment="1">
      <x:alignment vertical="center"/>
    </x:xf>
    <x:xf numFmtId="0" fontId="37" fillId="49" borderId="22" xfId="0" applyNumberFormat="1" applyFont="1" applyFill="1" applyBorder="1" applyAlignment="1">
      <x:alignment vertical="center"/>
    </x:xf>
    <x:xf numFmtId="0" fontId="38" fillId="53" borderId="0" xfId="0" applyNumberFormat="1" applyFont="1" applyFill="1" applyBorder="1" applyAlignment="1">
      <x:alignment vertical="center"/>
    </x:xf>
    <x:xf numFmtId="0" fontId="38" fillId="53" borderId="0" xfId="0" applyNumberFormat="1" applyFont="1" applyFill="1" applyBorder="1" applyAlignment="1">
      <x:alignment vertical="center" wrapText="1"/>
    </x:xf>
    <x:xf numFmtId="0" fontId="39" fillId="53" borderId="0" xfId="0" applyNumberFormat="1" applyFont="1" applyFill="1" applyBorder="1" applyAlignment="1">
      <x:alignment vertical="center" wrapText="1"/>
    </x:xf>
    <x:xf numFmtId="213" fontId="42" fillId="0" borderId="22" xfId="0" applyNumberFormat="1" applyFont="1" applyFill="1" applyBorder="1" applyAlignment="1">
      <x:alignment vertical="center"/>
    </x:xf>
    <x:xf numFmtId="213" fontId="37" fillId="52" borderId="22" xfId="0" applyNumberFormat="1" applyFont="1" applyFill="1" applyBorder="1" applyAlignment="1">
      <x:alignment vertical="center"/>
    </x:xf>
    <x:xf numFmtId="213" fontId="38" fillId="52" borderId="22" xfId="0" applyNumberFormat="1" applyFont="1" applyFill="1" applyBorder="1" applyAlignment="1">
      <x:alignment vertical="center"/>
    </x:xf>
    <x:xf numFmtId="215" fontId="37" fillId="52" borderId="22" xfId="0" applyNumberFormat="1" applyFont="1" applyFill="1" applyBorder="1" applyAlignment="1">
      <x:alignment vertical="center"/>
    </x:xf>
    <x:xf numFmtId="214" fontId="37" fillId="52" borderId="22" xfId="0" applyNumberFormat="1" applyFont="1" applyFill="1" applyBorder="1" applyAlignment="1">
      <x:alignment vertical="center"/>
    </x:xf>
    <x:xf numFmtId="200" fontId="37" fillId="52" borderId="22" xfId="0" applyNumberFormat="1" applyFont="1" applyFill="1" applyBorder="1" applyAlignment="1">
      <x:alignment vertical="center"/>
    </x:xf>
    <x:xf numFmtId="215" fontId="40" fillId="52" borderId="22" xfId="0" applyNumberFormat="1" applyFont="1" applyFill="1" applyBorder="1" applyAlignment="1">
      <x:alignment vertical="center"/>
    </x:xf>
    <x:xf numFmtId="218" fontId="40" fillId="52" borderId="22" xfId="0" applyNumberFormat="1" applyFont="1" applyFill="1" applyBorder="1" applyAlignment="1">
      <x:alignment vertical="center"/>
    </x:xf>
    <x:xf numFmtId="215" fontId="41" fillId="49" borderId="22" xfId="0" applyNumberFormat="1" applyFont="1" applyFill="1" applyBorder="1" applyAlignment="1">
      <x:alignment vertical="center"/>
    </x:xf>
    <x:xf numFmtId="221" fontId="41" fillId="49" borderId="22" xfId="0" applyNumberFormat="1" applyFont="1" applyFill="1" applyBorder="1" applyAlignment="1">
      <x:alignment vertical="center"/>
    </x:xf>
    <x:xf numFmtId="218" fontId="41" fillId="49" borderId="22" xfId="0" applyNumberFormat="1" applyFont="1" applyFill="1" applyBorder="1" applyAlignment="1">
      <x:alignment vertical="center"/>
    </x:xf>
    <x:xf numFmtId="215" fontId="38" fillId="0" borderId="22" xfId="0" applyNumberFormat="1" applyFont="1" applyFill="1" applyBorder="1" applyAlignment="1">
      <x:alignment vertical="center"/>
    </x:xf>
    <x:xf numFmtId="215" fontId="41" fillId="49" borderId="24" xfId="0" applyNumberFormat="1" applyFont="1" applyFill="1" applyBorder="1" applyAlignment="1">
      <x:alignment vertical="center"/>
    </x:xf>
    <x:xf numFmtId="215" fontId="38" fillId="0" borderId="0" xfId="0" applyNumberFormat="1" applyFont="1" applyFill="1" applyBorder="1" applyAlignment="1">
      <x:alignment vertical="center"/>
    </x:xf>
    <x:xf numFmtId="215" fontId="38" fillId="49" borderId="22" xfId="0" applyNumberFormat="1" applyFont="1" applyFill="1" applyBorder="1" applyAlignment="1">
      <x:alignment vertical="center"/>
    </x:xf>
    <x:xf numFmtId="218" fontId="38" fillId="49" borderId="22" xfId="0" applyNumberFormat="1" applyFont="1" applyFill="1" applyBorder="1" applyAlignment="1">
      <x:alignment vertical="center"/>
    </x:xf>
    <x:xf numFmtId="221" fontId="38" fillId="0" borderId="22" xfId="0" applyNumberFormat="1" applyFont="1" applyFill="1" applyBorder="1" applyAlignment="1">
      <x:alignment vertical="center"/>
    </x:xf>
    <x:xf numFmtId="213" fontId="38" fillId="49" borderId="22" xfId="0" applyNumberFormat="1" applyFont="1" applyFill="1" applyBorder="1" applyAlignment="1">
      <x:alignment vertical="center"/>
    </x:xf>
    <x:xf numFmtId="218" fontId="37" fillId="52" borderId="22" xfId="0" applyNumberFormat="1" applyFont="1" applyFill="1" applyBorder="1" applyAlignment="1">
      <x:alignment vertical="center"/>
    </x:xf>
    <x:xf numFmtId="215" fontId="37" fillId="49" borderId="22" xfId="0" applyNumberFormat="1" applyFont="1" applyFill="1" applyBorder="1" applyAlignment="1">
      <x:alignment vertical="center"/>
    </x:xf>
    <x:xf numFmtId="0" fontId="19" fillId="50" borderId="0" xfId="0" applyNumberFormat="1" applyFont="1" applyFill="1" applyBorder="1" applyAlignment="1">
      <x:alignment vertical="center" wrapText="1"/>
    </x:xf>
    <x:xf numFmtId="0" fontId="41" fillId="0" borderId="24" xfId="0" applyNumberFormat="1" applyFont="1" applyFill="1" applyBorder="1" applyAlignment="1">
      <x:alignment vertical="center" wrapText="1"/>
    </x:xf>
    <x:xf numFmtId="0" fontId="38" fillId="0" borderId="24" xfId="0" applyNumberFormat="1" applyFont="1" applyFill="1" applyBorder="1" applyAlignment="1">
      <x:alignment vertical="center" wrapText="1"/>
    </x:xf>
    <x:xf numFmtId="0" fontId="37" fillId="4" borderId="0" xfId="0" applyNumberFormat="1" applyFont="1" applyFill="1" applyBorder="1"/>
    <x:xf numFmtId="200" fontId="37" fillId="4" borderId="0" xfId="0" applyNumberFormat="1" applyFont="1" applyFill="1" applyBorder="1"/>
    <x:xf numFmtId="202" fontId="42" fillId="4" borderId="0" xfId="0" applyNumberFormat="1" applyFont="1" applyFill="1" applyBorder="1"/>
    <x:xf numFmtId="203" fontId="42" fillId="4" borderId="0" xfId="0" applyNumberFormat="1" applyFont="1" applyFill="1" applyBorder="1"/>
    <x:xf numFmtId="203" fontId="37" fillId="4" borderId="0" xfId="0" applyNumberFormat="1" applyFont="1" applyFill="1" applyBorder="1"/>
    <x:xf numFmtId="203" fontId="38" fillId="4" borderId="0" xfId="0" applyNumberFormat="1" applyFont="1" applyFill="1" applyBorder="1"/>
    <x:xf numFmtId="214" fontId="42" fillId="4" borderId="0" xfId="0" applyNumberFormat="1" applyFont="1" applyFill="1" applyBorder="1"/>
    <x:xf numFmtId="213" fontId="42" fillId="4" borderId="0" xfId="0" applyNumberFormat="1" applyFont="1" applyFill="1" applyBorder="1"/>
    <x:xf numFmtId="213" fontId="37" fillId="4" borderId="0" xfId="0" applyNumberFormat="1" applyFont="1" applyFill="1" applyBorder="1"/>
    <x:xf numFmtId="213" fontId="38" fillId="4" borderId="0" xfId="0" applyNumberFormat="1" applyFont="1" applyFill="1" applyBorder="1"/>
    <x:xf numFmtId="0" fontId="9" fillId="49" borderId="0" xfId="0" applyNumberFormat="1" applyFont="1" applyFill="1" applyBorder="1"/>
    <x:xf numFmtId="0" fontId="26" fillId="49" borderId="0" xfId="0" applyNumberFormat="1" applyFont="1" applyFill="1" applyBorder="1"/>
    <x:xf numFmtId="0" fontId="0" fillId="49" borderId="22" xfId="0" applyNumberFormat="1" applyFont="1" applyFill="1" applyBorder="1"/>
    <x:xf numFmtId="0" fontId="40" fillId="49" borderId="22" xfId="0" applyNumberFormat="1" applyFont="1" applyFill="1" applyBorder="1"/>
    <x:xf numFmtId="0" fontId="38" fillId="54" borderId="0" xfId="0" applyNumberFormat="1" applyFont="1" applyFill="1" applyBorder="1" applyAlignment="1">
      <x:alignment vertical="center"/>
    </x:xf>
    <x:xf numFmtId="0" fontId="33" fillId="54" borderId="0" xfId="0" applyNumberFormat="1" applyFont="1" applyFill="1" applyBorder="1" applyAlignment="1">
      <x:alignment vertical="center"/>
    </x:xf>
    <x:xf numFmtId="0" fontId="38" fillId="55" borderId="0" xfId="0" applyNumberFormat="1" applyFont="1" applyFill="1" applyBorder="1" applyAlignment="1">
      <x:alignment vertical="center"/>
    </x:xf>
    <x:xf numFmtId="0" fontId="34" fillId="55" borderId="0" xfId="0" applyNumberFormat="1" applyFont="1" applyFill="1" applyBorder="1" applyAlignment="1">
      <x:alignment vertical="center"/>
    </x:xf>
    <x:xf numFmtId="0" fontId="38" fillId="56" borderId="0" xfId="0" applyNumberFormat="1" applyFont="1" applyFill="1" applyBorder="1" applyAlignment="1">
      <x:alignment vertical="center"/>
    </x:xf>
    <x:xf numFmtId="0" fontId="35" fillId="56" borderId="0" xfId="0" applyNumberFormat="1" applyFont="1" applyFill="1" applyBorder="1" applyAlignment="1">
      <x:alignment vertical="center"/>
    </x:xf>
    <x:xf numFmtId="0" fontId="38" fillId="57" borderId="0" xfId="0" applyNumberFormat="1" applyFont="1" applyFill="1" applyBorder="1" applyAlignment="1">
      <x:alignment vertical="center"/>
    </x:xf>
    <x:xf numFmtId="0" fontId="19" fillId="57" borderId="0" xfId="0" applyNumberFormat="1" applyFont="1" applyFill="1" applyBorder="1" applyAlignment="1">
      <x:alignment vertical="center"/>
    </x:xf>
    <x:xf numFmtId="0" fontId="38" fillId="58" borderId="22" xfId="0" applyNumberFormat="1" applyFont="1" applyFill="1" applyBorder="1" applyAlignment="1">
      <x:alignment vertical="center"/>
    </x:xf>
    <x:xf numFmtId="0" fontId="36" fillId="58" borderId="22" xfId="0" applyNumberFormat="1" applyFont="1" applyFill="1" applyBorder="1" applyAlignment="1">
      <x:alignment vertical="center"/>
    </x:xf>
    <x:xf numFmtId="0" fontId="37" fillId="59" borderId="22" xfId="0" applyNumberFormat="1" applyFont="1" applyFill="1" applyBorder="1" applyAlignment="1">
      <x:alignment vertical="center"/>
    </x:xf>
    <x:xf numFmtId="0" fontId="38" fillId="55" borderId="22" xfId="0" applyNumberFormat="1" applyFont="1" applyFill="1" applyBorder="1" applyAlignment="1">
      <x:alignment vertical="center"/>
    </x:xf>
    <x:xf numFmtId="0" fontId="36" fillId="55" borderId="22" xfId="0" applyNumberFormat="1" applyFont="1" applyFill="1" applyBorder="1" applyAlignment="1">
      <x:alignment vertical="center"/>
    </x:xf>
    <x:xf numFmtId="0" fontId="41" fillId="0" borderId="22" xfId="0" applyNumberFormat="1" applyFont="1" applyFill="1" applyBorder="1" applyAlignment="1">
      <x:alignment vertical="center"/>
    </x:xf>
    <x:xf numFmtId="0" fontId="36" fillId="58" borderId="24" xfId="0" applyNumberFormat="1" applyFont="1" applyFill="1" applyBorder="1" applyAlignment="1">
      <x:alignment vertical="center"/>
    </x:xf>
    <x:xf numFmtId="0" fontId="38" fillId="56" borderId="22" xfId="0" applyNumberFormat="1" applyFont="1" applyFill="1" applyBorder="1" applyAlignment="1">
      <x:alignment vertical="center"/>
    </x:xf>
    <x:xf numFmtId="0" fontId="41" fillId="56" borderId="22" xfId="0" applyNumberFormat="1" applyFont="1" applyFill="1" applyBorder="1" applyAlignment="1">
      <x:alignment vertical="center"/>
    </x:xf>
    <x:xf numFmtId="0" fontId="38" fillId="60" borderId="22" xfId="0" applyNumberFormat="1" applyFont="1" applyFill="1" applyBorder="1" applyAlignment="1">
      <x:alignment vertical="center"/>
    </x:xf>
    <x:xf numFmtId="0" fontId="41" fillId="60" borderId="22" xfId="0" applyNumberFormat="1" applyFont="1" applyFill="1" applyBorder="1" applyAlignment="1">
      <x:alignment vertical="center"/>
    </x:xf>
    <x:xf numFmtId="0" fontId="38" fillId="56" borderId="24" xfId="0" applyNumberFormat="1" applyFont="1" applyFill="1" applyBorder="1" applyAlignment="1">
      <x:alignment vertical="center"/>
    </x:xf>
    <x:xf numFmtId="0" fontId="38" fillId="59" borderId="22" xfId="0" applyNumberFormat="1" applyFont="1" applyFill="1" applyBorder="1" applyAlignment="1">
      <x:alignment vertical="center"/>
    </x:xf>
    <x:xf numFmtId="0" fontId="38" fillId="60" borderId="0" xfId="0" applyNumberFormat="1" applyFont="1" applyFill="1" applyBorder="1" applyAlignment="1">
      <x:alignment vertical="center"/>
    </x:xf>
    <x:xf numFmtId="0" fontId="38" fillId="60" borderId="0" xfId="0" applyNumberFormat="1" applyFont="1" applyFill="1" applyBorder="1" applyAlignment="1">
      <x:alignment vertical="center" wrapText="1"/>
    </x:xf>
    <x:xf numFmtId="0" fontId="39" fillId="60" borderId="0" xfId="0" applyNumberFormat="1" applyFont="1" applyFill="1" applyBorder="1" applyAlignment="1">
      <x:alignment vertical="center" wrapText="1"/>
    </x:xf>
    <x:xf numFmtId="215" fontId="42" fillId="0" borderId="22" xfId="0" applyNumberFormat="1" applyFont="1" applyFill="1" applyBorder="1" applyAlignment="1">
      <x:alignment vertical="center"/>
    </x:xf>
    <x:xf numFmtId="213" fontId="37" fillId="59" borderId="22" xfId="0" applyNumberFormat="1" applyFont="1" applyFill="1" applyBorder="1" applyAlignment="1">
      <x:alignment vertical="center"/>
    </x:xf>
    <x:xf numFmtId="201" fontId="37" fillId="59" borderId="22" xfId="0" applyNumberFormat="1" applyFont="1" applyFill="1" applyBorder="1" applyAlignment="1">
      <x:alignment vertical="center"/>
    </x:xf>
    <x:xf numFmtId="200" fontId="42" fillId="0" borderId="22" xfId="0" applyNumberFormat="1" applyFont="1" applyFill="1" applyBorder="1" applyAlignment="1">
      <x:alignment vertical="center"/>
    </x:xf>
    <x:xf numFmtId="213" fontId="41" fillId="0" borderId="24" xfId="0" applyNumberFormat="1" applyFont="1" applyFill="1" applyBorder="1" applyAlignment="1">
      <x:alignment vertical="center"/>
    </x:xf>
    <x:xf numFmtId="215" fontId="41" fillId="0" borderId="24" xfId="0" applyNumberFormat="1" applyFont="1" applyFill="1" applyBorder="1" applyAlignment="1">
      <x:alignment vertical="center"/>
    </x:xf>
    <x:xf numFmtId="209" fontId="37" fillId="59" borderId="22" xfId="0" applyNumberFormat="1" applyFont="1" applyFill="1" applyBorder="1" applyAlignment="1">
      <x:alignment vertical="center"/>
    </x:xf>
    <x:xf numFmtId="215" fontId="41" fillId="56" borderId="22" xfId="0" applyNumberFormat="1" applyFont="1" applyFill="1" applyBorder="1" applyAlignment="1">
      <x:alignment vertical="center"/>
    </x:xf>
    <x:xf numFmtId="213" fontId="41" fillId="56" borderId="22" xfId="0" applyNumberFormat="1" applyFont="1" applyFill="1" applyBorder="1" applyAlignment="1">
      <x:alignment vertical="center"/>
    </x:xf>
    <x:xf numFmtId="224" fontId="41" fillId="60" borderId="22" xfId="0" applyNumberFormat="1" applyFont="1" applyFill="1" applyBorder="1" applyAlignment="1">
      <x:alignment vertical="center"/>
    </x:xf>
    <x:xf numFmtId="201" fontId="38" fillId="55" borderId="22" xfId="0" applyNumberFormat="1" applyFont="1" applyFill="1" applyBorder="1" applyAlignment="1">
      <x:alignment vertical="center"/>
    </x:xf>
    <x:xf numFmtId="215" fontId="38" fillId="56" borderId="24" xfId="0" applyNumberFormat="1" applyFont="1" applyFill="1" applyBorder="1" applyAlignment="1">
      <x:alignment vertical="center"/>
    </x:xf>
    <x:xf numFmtId="215" fontId="19" fillId="57" borderId="0" xfId="0" applyNumberFormat="1" applyFont="1" applyFill="1" applyBorder="1" applyAlignment="1">
      <x:alignment vertical="center"/>
    </x:xf>
    <x:xf numFmtId="215" fontId="38" fillId="56" borderId="22" xfId="0" applyNumberFormat="1" applyFont="1" applyFill="1" applyBorder="1" applyAlignment="1">
      <x:alignment vertical="center"/>
    </x:xf>
    <x:xf numFmtId="213" fontId="38" fillId="59" borderId="22" xfId="0" applyNumberFormat="1" applyFont="1" applyFill="1" applyBorder="1" applyAlignment="1">
      <x:alignment vertical="center"/>
    </x:xf>
    <x:xf numFmtId="0" fontId="36" fillId="55" borderId="22" xfId="0" applyNumberFormat="1" applyFont="1" applyFill="1" applyBorder="1" applyAlignment="1">
      <x:alignment vertical="center" wrapText="1"/>
    </x:xf>
    <x:xf numFmtId="0" fontId="19" fillId="57" borderId="0" xfId="0" applyNumberFormat="1" applyFont="1" applyFill="1" applyBorder="1" applyAlignment="1">
      <x:alignment vertical="center" wrapText="1"/>
    </x:xf>
    <x:xf numFmtId="0" fontId="9" fillId="56" borderId="0" xfId="0" applyNumberFormat="1" applyFont="1" applyFill="1" applyBorder="1"/>
    <x:xf numFmtId="0" fontId="26" fillId="56" borderId="0" xfId="0" applyNumberFormat="1" applyFont="1" applyFill="1" applyBorder="1"/>
    <x:xf numFmtId="0" fontId="0" fillId="56" borderId="22" xfId="0" applyNumberFormat="1" applyFont="1" applyFill="1" applyBorder="1"/>
    <x:xf numFmtId="0" fontId="40" fillId="56" borderId="22" xfId="0" applyNumberFormat="1" applyFont="1" applyFill="1" applyBorder="1"/>
  </x:cellXfs>
  <x:cellStyles count="1">
    <x:cellStyle name="Normal" xfId="0"/>
  </x:cellStyles>
  <x:dxfs count="17">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x:bgColor rgb="FF7F7F7F"/>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70AD47"/>
      </x:font>
      <x:fill>
        <x:patternFill>
          <x:bgColor rgb="FF70AD47"/>
        </x:patternFill>
      </x:fill>
    </x:dxf>
    <x:dxf>
      <x:font>
        <x:color rgb="FF70AD47"/>
      </x:font>
      <x:fill>
        <x:patternFill>
          <x:bgColor rgb="FF70AD47"/>
        </x:patternFill>
      </x:fill>
    </x:dxf>
    <x:dxf>
      <x:font>
        <x:color rgb="FF70AD47"/>
      </x:font>
      <x:fill>
        <x:patternFill>
          <x:bgColor rgb="FF70AD47"/>
        </x:patternFill>
      </x:fill>
    </x:dxf>
    <x:dxf>
      <x:font>
        <x:color rgb="FFF4B183"/>
      </x:font>
      <x:fill>
        <x:patternFill>
          <x:bgColor rgb="FFF4B183"/>
        </x:patternFill>
      </x:fill>
    </x:dxf>
    <x:dxf>
      <x:font>
        <x:color rgb="FFFFD966"/>
      </x:font>
      <x:fill>
        <x:patternFill>
          <x:bgColor rgb="FFFFD966"/>
        </x:patternFill>
      </x:fill>
    </x:dxf>
    <x:dxf>
      <x:font>
        <x:color rgb="FF17365D"/>
      </x:font>
      <x:fill>
        <x:patternFill>
          <x:bgColor rgb="FF17365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8d2dda2fcb4a75" /><Relationship Type="http://schemas.openxmlformats.org/officeDocument/2006/relationships/theme" Target="/xl/theme/theme1.xml" Id="Rbd041a2f51394d77" /><Relationship Type="http://schemas.openxmlformats.org/officeDocument/2006/relationships/sharedStrings" Target="/xl/sharedStrings.xml" Id="Re58a9c6e64264ae3" /><Relationship Type="http://schemas.openxmlformats.org/officeDocument/2006/relationships/worksheet" Target="/xl/worksheets/sheet1.xml" Id="R07f9548a994643c2" /><Relationship Type="http://schemas.openxmlformats.org/officeDocument/2006/relationships/worksheet" Target="/xl/worksheets/sheet2.xml" Id="R44460d68c93e490a" /><Relationship Type="http://schemas.openxmlformats.org/officeDocument/2006/relationships/worksheet" Target="/xl/worksheets/sheet3.xml" Id="Rec640185d77c4208" /><Relationship Type="http://schemas.openxmlformats.org/officeDocument/2006/relationships/worksheet" Target="/xl/worksheets/sheet4.xml" Id="R07661846d8ed4df7" /><Relationship Type="http://schemas.openxmlformats.org/officeDocument/2006/relationships/worksheet" Target="/xl/worksheets/sheet5.xml" Id="R419c26e5b0154ce8" /><Relationship Type="http://schemas.openxmlformats.org/officeDocument/2006/relationships/worksheet" Target="/xl/worksheets/sheet6.xml" Id="Rdb119bb981434ae3" /><Relationship Type="http://schemas.openxmlformats.org/officeDocument/2006/relationships/worksheet" Target="/xl/worksheets/sheet7.xml" Id="R23b603b9622f4548" /><Relationship Type="http://schemas.openxmlformats.org/officeDocument/2006/relationships/worksheet" Target="/xl/worksheets/sheet8.xml" Id="R154d2866cbed409d" /><Relationship Type="http://schemas.openxmlformats.org/officeDocument/2006/relationships/worksheet" Target="/xl/worksheets/sheet9.xml" Id="R1c564d5a7fbf4455" /><Relationship Type="http://schemas.openxmlformats.org/officeDocument/2006/relationships/worksheet" Target="/xl/worksheets/sheet10.xml" Id="Re8112b4112694336" /><Relationship Type="http://schemas.openxmlformats.org/officeDocument/2006/relationships/worksheet" Target="/xl/worksheets/sheet11.xml" Id="Ra83a35549ac94976" /><Relationship Type="http://schemas.openxmlformats.org/officeDocument/2006/relationships/worksheet" Target="/xl/worksheets/sheet12.xml" Id="R49e21e59c38e4887" /><Relationship Type="http://schemas.openxmlformats.org/officeDocument/2006/relationships/worksheet" Target="/xl/worksheets/sheet13.xml" Id="R27ab496476a04455" /><Relationship Type="http://schemas.openxmlformats.org/officeDocument/2006/relationships/worksheet" Target="/xl/worksheets/sheet14.xml" Id="R4739deba96b24abe" /><Relationship Type="http://schemas.openxmlformats.org/officeDocument/2006/relationships/worksheet" Target="/xl/worksheets/sheet15.xml" Id="R18272b9c01834493" /><Relationship Type="http://schemas.openxmlformats.org/officeDocument/2006/relationships/worksheet" Target="/xl/worksheets/sheet16.xml" Id="R5c9e50199c864f29" /><Relationship Type="http://schemas.openxmlformats.org/officeDocument/2006/relationships/worksheet" Target="/xl/worksheets/sheet17.xml" Id="Rb4ae5e17e35b4ac0" /><Relationship Type="http://schemas.microsoft.com/office/2017/10/relationships/person" Target="/xl/persons/person.xml" Id="R221cb8cc327843af"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ca23f51628284822" /><Relationship Type="http://schemas.openxmlformats.org/officeDocument/2006/relationships/vmlDrawing" Target="/xl/drawings/vmldrawing.vml" Id="R1dd4014f02454c82" /><Relationship Type="http://schemas.microsoft.com/office/2017/10/relationships/threadedComment" Target="/xl/threadedcomments/threadedcomment.xml" Id="R374fa11e03b64174" /></Relationships>
</file>

<file path=xl/worksheets/_rels/sheet5.xml.rels>&#65279;<?xml version="1.0" encoding="utf-8"?><Relationships xmlns="http://schemas.openxmlformats.org/package/2006/relationships"><Relationship Type="http://schemas.openxmlformats.org/officeDocument/2006/relationships/comments" Target="/xl/comments2.xml" Id="R9dba03bf60ff458b" /><Relationship Type="http://schemas.openxmlformats.org/officeDocument/2006/relationships/vmlDrawing" Target="/xl/drawings/vmldrawing2.vml" Id="R2873171e73d34d04" /><Relationship Type="http://schemas.microsoft.com/office/2017/10/relationships/threadedComment" Target="/xl/threadedcomments/threadedcomment2.xml" Id="R1b293b343def4632" /></Relationships>
</file>

<file path=xl/worksheets/_rels/sheet8.xml.rels>&#65279;<?xml version="1.0" encoding="utf-8"?><Relationships xmlns="http://schemas.openxmlformats.org/package/2006/relationships"><Relationship Type="http://schemas.openxmlformats.org/officeDocument/2006/relationships/comments" Target="/xl/comments3.xml" Id="R21d7d99c894f49a3" /><Relationship Type="http://schemas.openxmlformats.org/officeDocument/2006/relationships/vmlDrawing" Target="/xl/drawings/vmldrawing3.vml" Id="R74bcb809d4f746a3" /><Relationship Type="http://schemas.microsoft.com/office/2017/10/relationships/threadedComment" Target="/xl/threadedcomments/threadedcomment3.xml" Id="Rc6c4ab8101fc4572"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0.8 — purchase accounting complete</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811" t="str">
        <x:v>PURCHASE ACCOUNTING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Preliminary</x:v>
      </x:c>
      <x:c r="D9" t="str">
        <x:v>Years; confirm after historical review</x:v>
      </x:c>
    </x:row>
    <x:row r="10">
      <x:c r="A10" t="str">
        <x:v>Transaction close date</x:v>
      </x:c>
      <x:c r="B10" s="757" t="n">
        <x:v>46477</x:v>
      </x:c>
      <x:c r="C10" t="str">
        <x:v>Active</x:v>
      </x:c>
      <x:c r="D10" t="str">
        <x:v>Illustrative close after regulatory and shareholder approvals</x:v>
      </x:c>
    </x:row>
    <x:row r="12">
      <x:c r="A12" s="12" t="str">
        <x:v>TRANSACTION INPUTS — DO NOT POPULATE BEFORE VALUATION</x:v>
      </x:c>
      <x:c r="B12" s="12"/>
      <x:c r="C12" s="12"/>
      <x:c r="D12" s="12"/>
    </x:row>
    <x:row r="13">
      <x:c r="A13" t="str">
        <x:v>Offer price per share</x:v>
      </x:c>
      <x:c r="B13" s="762" t="n">
        <x:f>'Valuation Summary'!B9</x:f>
        <x:v>80</x:v>
      </x:c>
      <x:c r="C13" t="str">
        <x:v>Active</x:v>
      </x:c>
      <x:c r="D13" t="str">
        <x:v>Valuation Summary midpoint</x:v>
      </x:c>
    </x:row>
    <x:row r="14">
      <x:c r="A14" t="str">
        <x:v>Offer premium</x:v>
      </x:c>
      <x:c r="B14" s="763" t="n">
        <x:f>'Valuation Summary'!B10</x:f>
        <x:v>0.3393604553825549</x:v>
      </x:c>
      <x:c r="C14" t="str">
        <x:v>Active</x:v>
      </x:c>
      <x:c r="D14" t="str">
        <x:v>Calculated versus unaffected price</x:v>
      </x:c>
    </x:row>
    <x:row r="15">
      <x:c r="A15" t="str">
        <x:v>Cash consideration %</x:v>
      </x:c>
      <x:c r="B15" s="764" t="n">
        <x:v>0.3</x:v>
      </x:c>
      <x:c r="C15" t="str">
        <x:v>Active</x:v>
      </x:c>
      <x:c r="D15" t="str">
        <x:v>Selected financing case</x:v>
      </x:c>
    </x:row>
    <x:row r="16">
      <x:c r="A16" t="str">
        <x:v>Stock consideration %</x:v>
      </x:c>
      <x:c r="B16" s="765" t="n">
        <x:f>1-B15</x:f>
        <x:v>0.7</x:v>
      </x:c>
      <x:c r="C16" t="str">
        <x:v>Active</x:v>
      </x:c>
      <x:c r="D16" t="str">
        <x:v>Balances consideration mix</x:v>
      </x:c>
    </x:row>
    <x:row r="17">
      <x:c r="A17" t="str">
        <x:v>Cost synergies</x:v>
      </x:c>
      <x:c r="B17" s="38"/>
      <x:c r="C17" t="str">
        <x:v>Not started</x:v>
      </x:c>
      <x:c r="D17" t="str">
        <x:v>Operationally supported assumption</x:v>
      </x:c>
    </x:row>
    <x:row r="18">
      <x:c r="A18" t="str">
        <x:v>Revenue synergies</x:v>
      </x:c>
      <x:c r="B18" s="38"/>
      <x:c r="C18" t="str">
        <x:v>Not started</x:v>
      </x:c>
      <x:c r="D18" t="str">
        <x:v>Separately modeled and risk-adjusted</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row r="32" ht="32" customHeight="1">
      <x:c r="A32" s="480" t="str">
        <x:v>S-018</x:v>
      </x:c>
      <x:c r="B32" s="480" t="str">
        <x:v>Rockwell Automation</x:v>
      </x:c>
      <x:c r="C32" s="480" t="str">
        <x:v>Fiscal third-quarter 2026 results</x:v>
      </x:c>
      <x:c r="D32" s="481" t="n">
        <x:v>46238</x:v>
      </x:c>
      <x:c r="E32" s="481" t="n">
        <x:v>46255</x:v>
      </x:c>
      <x:c r="F32" s="480" t="str">
        <x:v>FY2026 buyer guidance and current operating momentum</x:v>
      </x:c>
      <x:c r="G32" s="480" t="str">
        <x:v>https://www.rockwellautomation.com/en-se/company/news/press-releases/Rockwell-Automation-Reports-Third-Quarter-2026-Results.html</x:v>
      </x:c>
      <x:c r="H32" s="480" t="str">
        <x:v>Primary company release</x:v>
      </x:c>
    </x:row>
    <x:row r="33" ht="32" customHeight="1">
      <x:c r="A33" s="480" t="str">
        <x:v>S-050</x:v>
      </x:c>
      <x:c r="B33" s="480" t="str">
        <x:v>Rockwell Automation</x:v>
      </x:c>
      <x:c r="C33" s="480" t="str">
        <x:v>Q2 FY2026 Form 10-Q</x:v>
      </x:c>
      <x:c r="D33" s="481" t="n">
        <x:v>46147</x:v>
      </x:c>
      <x:c r="E33" s="481" t="n">
        <x:v>46255</x:v>
      </x:c>
      <x:c r="F33" s="480" t="str">
        <x:v>Cash, funded debt, revolver capacity, and interest-coverage covenant</x:v>
      </x:c>
      <x:c r="G33" s="480" t="str">
        <x:v>https://www.sec.gov/Archives/edgar/data/1024478/000102447826000022/rok-20260331.htm</x:v>
      </x:c>
      <x:c r="H33" s="480" t="str">
        <x:v>Primary SEC filing; latest full balance sheet used</x:v>
      </x:c>
    </x:row>
    <x:row r="34" ht="32" customHeight="1">
      <x:c r="A34" s="480" t="str">
        <x:v>S-051</x:v>
      </x:c>
      <x:c r="B34" s="480" t="str">
        <x:v>Rockwell Automation</x:v>
      </x:c>
      <x:c r="C34" s="480" t="str">
        <x:v>Historical stock price</x:v>
      </x:c>
      <x:c r="D34" s="481" t="n">
        <x:v>46254</x:v>
      </x:c>
      <x:c r="E34" s="481" t="n">
        <x:v>46255</x:v>
      </x:c>
      <x:c r="F34" s="480" t="str">
        <x:v>Buyer share price for stock consideration and new-share issuance</x:v>
      </x:c>
      <x:c r="G34" s="480" t="str">
        <x:v>https://stockanalysis.com/stocks/rok/history/</x:v>
      </x:c>
      <x:c r="H34" s="480" t="str">
        <x:v>$431.45 closing price on Aug. 20, 2026</x:v>
      </x:c>
    </x:row>
    <x:row r="35" ht="38" customHeight="1">
      <x:c r="A35" s="480" t="str">
        <x:v>S-052</x:v>
      </x:c>
      <x:c r="B35" s="480" t="str">
        <x:v>Cognex</x:v>
      </x:c>
      <x:c r="C35" s="480" t="str">
        <x:v>Second-quarter 2026 results and balance sheet</x:v>
      </x:c>
      <x:c r="D35" s="481" t="n">
        <x:v>46240</x:v>
      </x:c>
      <x:c r="E35" s="481" t="n">
        <x:v>46255</x:v>
      </x:c>
      <x:c r="F35" s="480" t="str">
        <x:v>Latest target shareholders’ equity, existing goodwill, existing intangible assets, and balance-sheet context</x:v>
      </x:c>
      <x:c r="G35" s="480" t="str">
        <x:v>https://www.prnewswire.com/news-releases/cognex-reports-second-quarter-2026-results-302844140.html</x:v>
      </x:c>
      <x:c r="H35" s="480" t="str">
        <x:v>Company-issued earnings release; unaudited July 5, 2026 balance sheet</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1dd4014f02454c82"/>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2873171e73d34d04"/>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74bcb809d4f746a3"/>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will be modeled separately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18" hidden="0" customWidth="1"/>
    <x:col min="6" max="6" width="18" hidden="0" customWidth="1"/>
    <x:col min="7" max="7" width="3" hidden="0" customWidth="1"/>
    <x:col min="8" max="8" width="30"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07" t="str">
        <x:v>Sources &amp; Uses</x:v>
      </x:c>
      <x:c r="B1" s="707"/>
      <x:c r="C1" s="707"/>
      <x:c r="D1" s="707"/>
      <x:c r="E1" s="707"/>
      <x:c r="F1" s="707"/>
      <x:c r="G1" s="707"/>
      <x:c r="H1" s="707"/>
      <x:c r="I1" s="707"/>
      <x:c r="J1" s="707"/>
      <x:c r="K1" s="707"/>
      <x:c r="L1" s="707"/>
      <x:c r="M1" s="707"/>
      <x:c r="N1" s="707"/>
      <x:c r="O1" s="707"/>
    </x:row>
    <x:row r="2" ht="18" customHeight="1">
      <x:c r="A2" s="709" t="str">
        <x:v>Purchase price, consideration mix, funding sources, ownership, and pro forma leverage | USD millions except per-share data</x:v>
      </x:c>
      <x:c r="B2" s="709"/>
      <x:c r="C2" s="709"/>
      <x:c r="D2" s="709"/>
      <x:c r="E2" s="709"/>
      <x:c r="F2" s="709"/>
      <x:c r="G2" s="709"/>
      <x:c r="H2" s="709"/>
      <x:c r="I2" s="709"/>
      <x:c r="J2" s="709"/>
      <x:c r="K2" s="709"/>
      <x:c r="L2" s="709"/>
      <x:c r="M2" s="709"/>
      <x:c r="N2" s="709"/>
      <x:c r="O2" s="709"/>
    </x:row>
    <x:row r="3" ht="18" customHeight="1">
      <x:c r="A3" s="432" t="str">
        <x:v>Status</x:v>
      </x:c>
      <x:c r="B3" s="711" t="str">
        <x:v>Complete — illustrative 30% cash / 70% stock consideration with $4.0 billion of new debt</x:v>
      </x:c>
      <x:c r="C3" s="711"/>
      <x:c r="D3" s="711"/>
      <x:c r="E3" s="711"/>
      <x:c r="F3" s="711"/>
      <x:c r="G3" s="711"/>
      <x:c r="H3" s="711"/>
      <x:c r="I3" s="711"/>
      <x:c r="J3" s="711"/>
      <x:c r="K3" s="711"/>
      <x:c r="L3" s="711"/>
      <x:c r="M3" s="711"/>
      <x:c r="N3" s="711"/>
      <x:c r="O3" s="711"/>
    </x:row>
    <x:row r="4" ht="18" customHeight="1">
      <x:c r="A4" s="538"/>
      <x:c r="B4" s="538"/>
      <x:c r="C4" s="538"/>
      <x:c r="D4" s="538"/>
      <x:c r="E4" s="538"/>
      <x:c r="F4" s="538"/>
      <x:c r="G4" s="538"/>
      <x:c r="H4" s="538"/>
      <x:c r="I4" s="538"/>
      <x:c r="J4" s="538"/>
      <x:c r="K4" s="538"/>
      <x:c r="L4" s="538"/>
      <x:c r="M4" s="538"/>
      <x:c r="N4" s="538"/>
      <x:c r="O4" s="538"/>
    </x:row>
    <x:row r="5" ht="18" customHeight="1">
      <x:c r="A5" s="713" t="str">
        <x:v>TRANSACTION ASSUMPTIONS</x:v>
      </x:c>
      <x:c r="B5" s="713"/>
      <x:c r="C5" s="713"/>
      <x:c r="D5" s="713"/>
      <x:c r="E5" s="713"/>
      <x:c r="F5" s="713"/>
      <x:c r="G5" s="538"/>
      <x:c r="H5" s="713" t="str">
        <x:v>PURCHASE PRICE BRIDGE</x:v>
      </x:c>
      <x:c r="I5" s="713"/>
      <x:c r="J5" s="713"/>
      <x:c r="K5" s="713"/>
      <x:c r="L5" s="713"/>
      <x:c r="M5" s="713"/>
      <x:c r="N5" s="713"/>
      <x:c r="O5" s="713"/>
    </x:row>
    <x:row r="6" ht="24" customHeight="1">
      <x:c r="A6" s="715" t="str">
        <x:v>Offer price / share</x:v>
      </x:c>
      <x:c r="B6" s="663" t="n">
        <x:f>'Valuation Summary'!B9</x:f>
        <x:v>80</x:v>
      </x:c>
      <x:c r="C6" s="436" t="str">
        <x:v>$ / share</x:v>
      </x:c>
      <x:c r="D6" s="436" t="str">
        <x:v>Valuation Summary</x:v>
      </x:c>
      <x:c r="E6" s="664" t="str">
        <x:v>Midpoint of the selected acquisition range</x:v>
      </x:c>
      <x:c r="F6" s="664"/>
      <x:c r="G6" s="538"/>
      <x:c r="H6" s="715" t="str">
        <x:v>Equity purchase price</x:v>
      </x:c>
      <x:c r="I6" s="739" t="n">
        <x:f>B6*B9</x:f>
        <x:v>13457.919999999998</x:v>
      </x:c>
      <x:c r="J6" s="664" t="str">
        <x:v>Offer price × diluted target shares</x:v>
      </x:c>
      <x:c r="K6" s="664"/>
      <x:c r="L6" s="664"/>
      <x:c r="M6" s="664"/>
      <x:c r="N6" s="664"/>
      <x:c r="O6" s="664"/>
    </x:row>
    <x:row r="7" ht="24" customHeight="1">
      <x:c r="A7" s="715" t="str">
        <x:v>Unaffected share price</x:v>
      </x:c>
      <x:c r="B7" s="663" t="n">
        <x:f>'Valuation Summary'!B6</x:f>
        <x:v>59.73</x:v>
      </x:c>
      <x:c r="C7" s="436" t="str">
        <x:v>$ / share</x:v>
      </x:c>
      <x:c r="D7" s="436" t="str">
        <x:v>S-039 / Valuation Summary</x:v>
      </x:c>
      <x:c r="E7" s="664" t="str">
        <x:v>Closing price on Aug. 20, 2026</x:v>
      </x:c>
      <x:c r="F7" s="664"/>
      <x:c r="G7" s="538"/>
      <x:c r="H7" s="715" t="str">
        <x:v>Add: target debt</x:v>
      </x:c>
      <x:c r="I7" s="739" t="n">
        <x:f>'DCF'!B20</x:f>
        <x:v>0</x:v>
      </x:c>
      <x:c r="J7" s="664" t="str">
        <x:v>Cognex has no funded debt</x:v>
      </x:c>
      <x:c r="K7" s="664"/>
      <x:c r="L7" s="664"/>
      <x:c r="M7" s="664"/>
      <x:c r="N7" s="664"/>
      <x:c r="O7" s="664"/>
    </x:row>
    <x:row r="8" ht="24" customHeight="1">
      <x:c r="A8" s="715" t="str">
        <x:v>Offer premium</x:v>
      </x:c>
      <x:c r="B8" s="733" t="n">
        <x:f>B6/B7-1</x:f>
        <x:v>0.3393604553825549</x:v>
      </x:c>
      <x:c r="C8" s="436" t="str">
        <x:v>%</x:v>
      </x:c>
      <x:c r="D8" s="436" t="str">
        <x:v>Calculated</x:v>
      </x:c>
      <x:c r="E8" s="664" t="str">
        <x:v>Offer price divided by unaffected price less one</x:v>
      </x:c>
      <x:c r="F8" s="664"/>
      <x:c r="G8" s="538"/>
      <x:c r="H8" s="715" t="str">
        <x:v>Less: target cash and investments</x:v>
      </x:c>
      <x:c r="I8" s="739" t="n">
        <x:f>'DCF'!B19</x:f>
        <x:v>755.013</x:v>
      </x:c>
      <x:c r="J8" s="664" t="str">
        <x:v>Acquired cash reduces enterprise value but is not used as a closing source</x:v>
      </x:c>
      <x:c r="K8" s="664"/>
      <x:c r="L8" s="664"/>
      <x:c r="M8" s="664"/>
      <x:c r="N8" s="664"/>
      <x:c r="O8" s="664"/>
    </x:row>
    <x:row r="9" ht="24" customHeight="1">
      <x:c r="A9" s="715" t="str">
        <x:v>Target diluted shares</x:v>
      </x:c>
      <x:c r="B9" s="560" t="n">
        <x:f>'DCF'!B21</x:f>
        <x:v>168.224</x:v>
      </x:c>
      <x:c r="C9" s="436" t="str">
        <x:v>mm</x:v>
      </x:c>
      <x:c r="D9" s="436" t="str">
        <x:v>DCF / S-022</x:v>
      </x:c>
      <x:c r="E9" s="664" t="str">
        <x:v>Latest target share-count proxy</x:v>
      </x:c>
      <x:c r="F9" s="664"/>
      <x:c r="G9" s="538"/>
      <x:c r="H9" s="715" t="str">
        <x:v>Transaction enterprise value</x:v>
      </x:c>
      <x:c r="I9" s="739" t="n">
        <x:f>I6+I7-I8</x:f>
        <x:v>12702.906999999997</x:v>
      </x:c>
      <x:c r="J9" s="664" t="str">
        <x:v>Equity value plus debt less cash</x:v>
      </x:c>
      <x:c r="K9" s="664"/>
      <x:c r="L9" s="664"/>
      <x:c r="M9" s="664"/>
      <x:c r="N9" s="664"/>
      <x:c r="O9" s="664"/>
    </x:row>
    <x:row r="10" ht="24" customHeight="1">
      <x:c r="A10" s="715" t="str">
        <x:v>Cash consideration</x:v>
      </x:c>
      <x:c r="B10" s="734" t="n">
        <x:v>0.3</x:v>
      </x:c>
      <x:c r="C10" s="436" t="str">
        <x:v>%</x:v>
      </x:c>
      <x:c r="D10" s="436" t="str">
        <x:v>Analyst assumption</x:v>
      </x:c>
      <x:c r="E10" s="664" t="str">
        <x:v>Cash portion paid to target shareholders</x:v>
      </x:c>
      <x:c r="F10" s="664"/>
      <x:c r="G10" s="538"/>
      <x:c r="H10" s="715" t="str">
        <x:v>EV / FY2026E revenue</x:v>
      </x:c>
      <x:c r="I10" s="740" t="n">
        <x:f>I9/'CGNX Operating Model'!E20</x:f>
        <x:v>11.14290087719298</x:v>
      </x:c>
      <x:c r="J10" s="664" t="str">
        <x:v>High relative to fundamental revenue benchmarks</x:v>
      </x:c>
      <x:c r="K10" s="664"/>
      <x:c r="L10" s="664"/>
      <x:c r="M10" s="664"/>
      <x:c r="N10" s="664"/>
      <x:c r="O10" s="664"/>
    </x:row>
    <x:row r="11" ht="24" customHeight="1">
      <x:c r="A11" s="715" t="str">
        <x:v>Stock consideration</x:v>
      </x:c>
      <x:c r="B11" s="735" t="n">
        <x:f>1-B10</x:f>
        <x:v>0.7</x:v>
      </x:c>
      <x:c r="C11" s="436" t="str">
        <x:v>%</x:v>
      </x:c>
      <x:c r="D11" s="436" t="str">
        <x:v>Calculated</x:v>
      </x:c>
      <x:c r="E11" s="664" t="str">
        <x:v>Direct ROK shares issued to target shareholders</x:v>
      </x:c>
      <x:c r="F11" s="664"/>
      <x:c r="G11" s="538"/>
      <x:c r="H11" s="715" t="str">
        <x:v>EV / FY2026E EBITDA</x:v>
      </x:c>
      <x:c r="I11" s="740" t="n">
        <x:f>I9/'CGNX Operating Model'!E32</x:f>
        <x:v>38.42379612825166</x:v>
      </x:c>
      <x:c r="J11" s="664" t="str">
        <x:v>High relative to trading and precedent EBITDA benchmarks</x:v>
      </x:c>
      <x:c r="K11" s="664"/>
      <x:c r="L11" s="664"/>
      <x:c r="M11" s="664"/>
      <x:c r="N11" s="664"/>
      <x:c r="O11" s="664"/>
    </x:row>
    <x:row r="12" ht="24" customHeight="1">
      <x:c r="A12" s="715" t="str">
        <x:v>Transaction fees</x:v>
      </x:c>
      <x:c r="B12" s="734" t="n">
        <x:v>0.01</x:v>
      </x:c>
      <x:c r="C12" s="436" t="str">
        <x:v>% equity purchase price</x:v>
      </x:c>
      <x:c r="D12" s="436" t="str">
        <x:v>Analyst assumption</x:v>
      </x:c>
      <x:c r="E12" s="664" t="str">
        <x:v>Legal, advisory, accounting, and integration-planning fees</x:v>
      </x:c>
      <x:c r="F12" s="664"/>
      <x:c r="G12" s="538"/>
      <x:c r="H12" s="715" t="str">
        <x:v>FY2026E P / E</x:v>
      </x:c>
      <x:c r="I12" s="740" t="n">
        <x:f>B6/'Trading Comps'!B28</x:f>
        <x:v>53.484315789473676</x:v>
      </x:c>
      <x:c r="J12" s="664" t="str">
        <x:v>Within the upper portion of the trading P / E range</x:v>
      </x:c>
      <x:c r="K12" s="664"/>
      <x:c r="L12" s="664"/>
      <x:c r="M12" s="664"/>
      <x:c r="N12" s="664"/>
      <x:c r="O12" s="664"/>
    </x:row>
    <x:row r="13" ht="24" customHeight="1">
      <x:c r="A13" s="715" t="str">
        <x:v>Debt financing fees</x:v>
      </x:c>
      <x:c r="B13" s="734" t="n">
        <x:v>0.01</x:v>
      </x:c>
      <x:c r="C13" s="436" t="str">
        <x:v>% new debt</x:v>
      </x:c>
      <x:c r="D13" s="436" t="str">
        <x:v>Analyst assumption</x:v>
      </x:c>
      <x:c r="E13" s="664" t="str">
        <x:v>Upfront fees on new debt</x:v>
      </x:c>
      <x:c r="F13" s="664"/>
      <x:c r="G13" s="538"/>
      <x:c r="H13" s="538"/>
      <x:c r="I13" s="538"/>
      <x:c r="J13" s="554"/>
      <x:c r="K13" s="554"/>
      <x:c r="L13" s="554"/>
      <x:c r="M13" s="554"/>
      <x:c r="N13" s="554"/>
      <x:c r="O13" s="554"/>
    </x:row>
    <x:row r="14" ht="24" customHeight="1">
      <x:c r="A14" s="715" t="str">
        <x:v>New term loan / bridge</x:v>
      </x:c>
      <x:c r="B14" s="736" t="n">
        <x:v>2000</x:v>
      </x:c>
      <x:c r="C14" s="436" t="str">
        <x:v>$mm</x:v>
      </x:c>
      <x:c r="D14" s="436" t="str">
        <x:v>Analyst assumption</x:v>
      </x:c>
      <x:c r="E14" s="664" t="str">
        <x:v>Illustrative acquisition bridge / term loan</x:v>
      </x:c>
      <x:c r="F14" s="664"/>
      <x:c r="G14" s="538"/>
      <x:c r="H14" s="713" t="str">
        <x:v>KEY OUTPUTS</x:v>
      </x:c>
      <x:c r="I14" s="713"/>
      <x:c r="J14" s="753"/>
      <x:c r="K14" s="753"/>
      <x:c r="L14" s="753"/>
      <x:c r="M14" s="753"/>
      <x:c r="N14" s="753"/>
      <x:c r="O14" s="753"/>
    </x:row>
    <x:row r="15" ht="24" customHeight="1">
      <x:c r="A15" s="715" t="str">
        <x:v>New senior notes</x:v>
      </x:c>
      <x:c r="B15" s="736" t="n">
        <x:v>2000</x:v>
      </x:c>
      <x:c r="C15" s="436" t="str">
        <x:v>$mm</x:v>
      </x:c>
      <x:c r="D15" s="436" t="str">
        <x:v>Analyst assumption</x:v>
      </x:c>
      <x:c r="E15" s="664" t="str">
        <x:v>Illustrative permanent debt financing</x:v>
      </x:c>
      <x:c r="F15" s="664"/>
      <x:c r="G15" s="538"/>
      <x:c r="H15" s="715" t="str">
        <x:v>Total transaction uses</x:v>
      </x:c>
      <x:c r="I15" s="741" t="n">
        <x:f>B26</x:f>
        <x:v>13632.499199999998</x:v>
      </x:c>
      <x:c r="J15" s="664" t="str">
        <x:v>Purchase consideration plus fees</x:v>
      </x:c>
      <x:c r="K15" s="664"/>
      <x:c r="L15" s="664"/>
      <x:c r="M15" s="664"/>
      <x:c r="N15" s="664"/>
      <x:c r="O15" s="664"/>
    </x:row>
    <x:row r="16" ht="24" customHeight="1">
      <x:c r="A16" s="715" t="str">
        <x:v>New debt interest rate</x:v>
      </x:c>
      <x:c r="B16" s="734" t="n">
        <x:v>0.06</x:v>
      </x:c>
      <x:c r="C16" s="436" t="str">
        <x:v>%</x:v>
      </x:c>
      <x:c r="D16" s="436" t="str">
        <x:v>Analyst assumption</x:v>
      </x:c>
      <x:c r="E16" s="664" t="str">
        <x:v>Blended pre-tax rate used in accretion/dilution</x:v>
      </x:c>
      <x:c r="F16" s="664"/>
      <x:c r="G16" s="538"/>
      <x:c r="H16" s="715" t="str">
        <x:v>New ROK shares issued</x:v>
      </x:c>
      <x:c r="I16" s="742" t="n">
        <x:f>I33</x:f>
        <x:v>21.834613512573874</x:v>
      </x:c>
      <x:c r="J16" s="664" t="str">
        <x:v>Stock consideration divided by ROK share price</x:v>
      </x:c>
      <x:c r="K16" s="664"/>
      <x:c r="L16" s="664"/>
      <x:c r="M16" s="664"/>
      <x:c r="N16" s="664"/>
      <x:c r="O16" s="664"/>
    </x:row>
    <x:row r="17" ht="24" customHeight="1">
      <x:c r="A17" s="715" t="str">
        <x:v>ROK share price</x:v>
      </x:c>
      <x:c r="B17" s="737" t="n">
        <x:v>431.45</x:v>
      </x:c>
      <x:c r="C17" s="436" t="str">
        <x:v>$ / share</x:v>
      </x:c>
      <x:c r="D17" s="436" t="str">
        <x:v>S-051</x:v>
      </x:c>
      <x:c r="E17" s="664" t="str">
        <x:v>Aug. 20, 2026 closing price</x:v>
      </x:c>
      <x:c r="F17" s="664"/>
      <x:c r="G17" s="538"/>
      <x:c r="H17" s="715" t="str">
        <x:v>Pro forma gross leverage</x:v>
      </x:c>
      <x:c r="I17" s="743" t="n">
        <x:f>B48</x:f>
        <x:v>2.9252187842861477</x:v>
      </x:c>
      <x:c r="J17" s="664" t="str">
        <x:v>Below the illustrative 3.0x gross-leverage ceiling</x:v>
      </x:c>
      <x:c r="K17" s="664"/>
      <x:c r="L17" s="664"/>
      <x:c r="M17" s="664"/>
      <x:c r="N17" s="664"/>
      <x:c r="O17" s="664"/>
    </x:row>
    <x:row r="18" ht="24" customHeight="1">
      <x:c r="A18" s="715" t="str">
        <x:v>Illustrative close date</x:v>
      </x:c>
      <x:c r="B18" s="738" t="n">
        <x:v>46477</x:v>
      </x:c>
      <x:c r="C18" s="436" t="str">
        <x:v>date</x:v>
      </x:c>
      <x:c r="D18" s="436" t="str">
        <x:v>Analyst assumption</x:v>
      </x:c>
      <x:c r="E18" s="664" t="str">
        <x:v>Allows a realistic regulatory and shareholder approval period</x:v>
      </x:c>
      <x:c r="F18" s="664"/>
      <x:c r="G18" s="538"/>
      <x:c r="H18" s="715" t="str">
        <x:v>ROK cash remaining</x:v>
      </x:c>
      <x:c r="I18" s="741" t="n">
        <x:f>B33</x:f>
        <x:v>211.04479999999967</x:v>
      </x:c>
      <x:c r="J18" s="664" t="str">
        <x:v>Before adding acquired Cognex cash</x:v>
      </x:c>
      <x:c r="K18" s="664"/>
      <x:c r="L18" s="664"/>
      <x:c r="M18" s="664"/>
      <x:c r="N18" s="664"/>
      <x:c r="O18" s="664"/>
    </x:row>
    <x:row r="19" ht="18" customHeight="1">
      <x:c r="A19" s="538"/>
      <x:c r="B19" s="538"/>
      <x:c r="C19" s="538"/>
      <x:c r="D19" s="538"/>
      <x:c r="E19" s="538"/>
      <x:c r="F19" s="538"/>
      <x:c r="G19" s="538"/>
      <x:c r="H19" s="538"/>
      <x:c r="I19" s="538"/>
      <x:c r="J19" s="538"/>
      <x:c r="K19" s="538"/>
      <x:c r="L19" s="538"/>
      <x:c r="M19" s="538"/>
      <x:c r="N19" s="538"/>
      <x:c r="O19" s="538"/>
    </x:row>
    <x:row r="20" ht="18" customHeight="1">
      <x:c r="A20" s="713" t="str">
        <x:v>USES</x:v>
      </x:c>
      <x:c r="B20" s="713"/>
      <x:c r="C20" s="713"/>
      <x:c r="D20" s="713"/>
      <x:c r="E20" s="713"/>
      <x:c r="F20" s="713"/>
      <x:c r="G20" s="538"/>
      <x:c r="H20" s="713" t="str">
        <x:v>SOURCES</x:v>
      </x:c>
      <x:c r="I20" s="713"/>
      <x:c r="J20" s="713"/>
      <x:c r="K20" s="713"/>
      <x:c r="L20" s="713"/>
      <x:c r="M20" s="713"/>
      <x:c r="N20" s="538"/>
      <x:c r="O20" s="538"/>
    </x:row>
    <x:row r="21" ht="18" customHeight="1">
      <x:c r="A21" s="715" t="str">
        <x:v>Cash consideration</x:v>
      </x:c>
      <x:c r="B21" s="744" t="n">
        <x:f>I6*B10</x:f>
        <x:v>4037.3759999999993</x:v>
      </x:c>
      <x:c r="C21" s="664" t="str">
        <x:v>Paid to Cognex shareholders</x:v>
      </x:c>
      <x:c r="D21" s="664"/>
      <x:c r="E21" s="664"/>
      <x:c r="F21" s="664"/>
      <x:c r="G21" s="538"/>
      <x:c r="H21" s="715" t="str">
        <x:v>ROK cash on hand</x:v>
      </x:c>
      <x:c r="I21" s="744" t="n">
        <x:f>B26-SUM(I22:I24)</x:f>
        <x:v>211.95520000000033</x:v>
      </x:c>
      <x:c r="J21" s="664" t="str">
        <x:v>Cash funding is the balancing source; constrained by available cash</x:v>
      </x:c>
      <x:c r="K21" s="664"/>
      <x:c r="L21" s="664"/>
      <x:c r="M21" s="664"/>
      <x:c r="N21" s="538"/>
      <x:c r="O21" s="538"/>
    </x:row>
    <x:row r="22" ht="18" customHeight="1">
      <x:c r="A22" s="715" t="str">
        <x:v>Stock consideration</x:v>
      </x:c>
      <x:c r="B22" s="744" t="n">
        <x:f>I6*B11</x:f>
        <x:v>9420.543999999998</x:v>
      </x:c>
      <x:c r="C22" s="664" t="str">
        <x:v>ROK common shares issued directly to Cognex shareholders</x:v>
      </x:c>
      <x:c r="D22" s="664"/>
      <x:c r="E22" s="664"/>
      <x:c r="F22" s="664"/>
      <x:c r="G22" s="538"/>
      <x:c r="H22" s="715" t="str">
        <x:v>New term loan / bridge</x:v>
      </x:c>
      <x:c r="I22" s="744" t="n">
        <x:f>B14</x:f>
        <x:v>2000</x:v>
      </x:c>
      <x:c r="J22" s="664" t="str">
        <x:v>Illustrative acquisition debt</x:v>
      </x:c>
      <x:c r="K22" s="664"/>
      <x:c r="L22" s="664"/>
      <x:c r="M22" s="664"/>
      <x:c r="N22" s="538"/>
      <x:c r="O22" s="538"/>
    </x:row>
    <x:row r="23" ht="18" customHeight="1">
      <x:c r="A23" s="715" t="str">
        <x:v>Refinance target debt</x:v>
      </x:c>
      <x:c r="B23" s="744" t="n">
        <x:f>I7</x:f>
        <x:v>0</x:v>
      </x:c>
      <x:c r="C23" s="664" t="str">
        <x:v>No funded Cognex debt</x:v>
      </x:c>
      <x:c r="D23" s="664"/>
      <x:c r="E23" s="664"/>
      <x:c r="F23" s="664"/>
      <x:c r="G23" s="538"/>
      <x:c r="H23" s="715" t="str">
        <x:v>New senior notes</x:v>
      </x:c>
      <x:c r="I23" s="744" t="n">
        <x:f>B15</x:f>
        <x:v>2000</x:v>
      </x:c>
      <x:c r="J23" s="664" t="str">
        <x:v>Illustrative permanent debt</x:v>
      </x:c>
      <x:c r="K23" s="664"/>
      <x:c r="L23" s="664"/>
      <x:c r="M23" s="664"/>
      <x:c r="N23" s="538"/>
      <x:c r="O23" s="538"/>
    </x:row>
    <x:row r="24" ht="18" customHeight="1">
      <x:c r="A24" s="715" t="str">
        <x:v>Transaction fees</x:v>
      </x:c>
      <x:c r="B24" s="744" t="n">
        <x:f>I6*B12</x:f>
        <x:v>134.5792</x:v>
      </x:c>
      <x:c r="C24" s="664" t="str">
        <x:v>Estimated transaction expenses</x:v>
      </x:c>
      <x:c r="D24" s="664"/>
      <x:c r="E24" s="664"/>
      <x:c r="F24" s="664"/>
      <x:c r="G24" s="538"/>
      <x:c r="H24" s="715" t="str">
        <x:v>ROK stock issued</x:v>
      </x:c>
      <x:c r="I24" s="744" t="n">
        <x:f>B22</x:f>
        <x:v>9420.543999999998</x:v>
      </x:c>
      <x:c r="J24" s="664" t="str">
        <x:v>Direct stock consideration</x:v>
      </x:c>
      <x:c r="K24" s="664"/>
      <x:c r="L24" s="664"/>
      <x:c r="M24" s="664"/>
      <x:c r="N24" s="538"/>
      <x:c r="O24" s="538"/>
    </x:row>
    <x:row r="25" ht="18" customHeight="1">
      <x:c r="A25" s="715" t="str">
        <x:v>Debt financing fees</x:v>
      </x:c>
      <x:c r="B25" s="744" t="n">
        <x:f>SUM(B14:B15)*B13</x:f>
        <x:v>40</x:v>
      </x:c>
      <x:c r="C25" s="664" t="str">
        <x:v>Upfront financing fees</x:v>
      </x:c>
      <x:c r="D25" s="664"/>
      <x:c r="E25" s="664"/>
      <x:c r="F25" s="664"/>
      <x:c r="G25" s="538"/>
      <x:c r="H25" s="715"/>
      <x:c r="I25" s="744"/>
      <x:c r="J25" s="664"/>
      <x:c r="K25" s="664"/>
      <x:c r="L25" s="664"/>
      <x:c r="M25" s="664"/>
      <x:c r="N25" s="538"/>
      <x:c r="O25" s="538"/>
    </x:row>
    <x:row r="26" ht="18" customHeight="1">
      <x:c r="A26" s="722" t="str">
        <x:v>Total uses</x:v>
      </x:c>
      <x:c r="B26" s="745" t="n">
        <x:f>SUM(B21:B25)</x:f>
        <x:v>13632.499199999998</x:v>
      </x:c>
      <x:c r="C26" s="754" t="str">
        <x:v>Total funding requirement at closing</x:v>
      </x:c>
      <x:c r="D26" s="754"/>
      <x:c r="E26" s="754"/>
      <x:c r="F26" s="754"/>
      <x:c r="G26" s="727"/>
      <x:c r="H26" s="728" t="str">
        <x:v>Total sources</x:v>
      </x:c>
      <x:c r="I26" s="745" t="n">
        <x:f>SUM(I21:I24)</x:f>
        <x:v>13632.499199999998</x:v>
      </x:c>
      <x:c r="J26" s="755" t="str">
        <x:v>Must equal total uses</x:v>
      </x:c>
      <x:c r="K26" s="755"/>
      <x:c r="L26" s="755"/>
      <x:c r="M26" s="755"/>
      <x:c r="N26" s="538"/>
      <x:c r="O26" s="538"/>
    </x:row>
    <x:row r="27" ht="18" customHeight="1">
      <x:c r="A27" s="538"/>
      <x:c r="B27" s="538"/>
      <x:c r="C27" s="538"/>
      <x:c r="D27" s="538"/>
      <x:c r="E27" s="538"/>
      <x:c r="F27" s="538"/>
      <x:c r="G27" s="538"/>
      <x:c r="H27" s="538"/>
      <x:c r="I27" s="746"/>
      <x:c r="J27" s="554"/>
      <x:c r="K27" s="554"/>
      <x:c r="L27" s="554"/>
      <x:c r="M27" s="554"/>
      <x:c r="N27" s="538"/>
      <x:c r="O27" s="538"/>
    </x:row>
    <x:row r="28" ht="18" customHeight="1">
      <x:c r="A28" s="538"/>
      <x:c r="B28" s="538"/>
      <x:c r="C28" s="538"/>
      <x:c r="D28" s="538"/>
      <x:c r="E28" s="538"/>
      <x:c r="F28" s="538"/>
      <x:c r="G28" s="538"/>
      <x:c r="H28" s="436" t="str">
        <x:v>Sources less uses</x:v>
      </x:c>
      <x:c r="I28" s="747" t="n">
        <x:f>I26-B26</x:f>
        <x:v>0</x:v>
      </x:c>
      <x:c r="J28" s="664" t="str">
        <x:v>Required closing check</x:v>
      </x:c>
      <x:c r="K28" s="664"/>
      <x:c r="L28" s="664"/>
      <x:c r="M28" s="664"/>
      <x:c r="N28" s="538"/>
      <x:c r="O28" s="538"/>
    </x:row>
    <x:row r="29" ht="18" customHeight="1">
      <x:c r="A29" s="538"/>
      <x:c r="B29" s="538"/>
      <x:c r="C29" s="538"/>
      <x:c r="D29" s="538"/>
      <x:c r="E29" s="538"/>
      <x:c r="F29" s="538"/>
      <x:c r="G29" s="538"/>
      <x:c r="H29" s="538"/>
      <x:c r="I29" s="538"/>
      <x:c r="J29" s="538"/>
      <x:c r="K29" s="538"/>
      <x:c r="L29" s="538"/>
      <x:c r="M29" s="538"/>
      <x:c r="N29" s="538"/>
      <x:c r="O29" s="538"/>
    </x:row>
    <x:row r="30" ht="18" customHeight="1">
      <x:c r="A30" s="713" t="str">
        <x:v>PRO FORMA LIQUIDITY AND LEVERAGE</x:v>
      </x:c>
      <x:c r="B30" s="713"/>
      <x:c r="C30" s="713"/>
      <x:c r="D30" s="713"/>
      <x:c r="E30" s="713"/>
      <x:c r="F30" s="713"/>
      <x:c r="G30" s="538"/>
      <x:c r="H30" s="713" t="str">
        <x:v>PRO FORMA OWNERSHIP AND DEBT CAPACITY</x:v>
      </x:c>
      <x:c r="I30" s="713"/>
      <x:c r="J30" s="713"/>
      <x:c r="K30" s="713"/>
      <x:c r="L30" s="713"/>
      <x:c r="M30" s="713"/>
      <x:c r="N30" s="713"/>
      <x:c r="O30" s="713"/>
    </x:row>
    <x:row r="31" ht="22" customHeight="1">
      <x:c r="A31" s="715" t="str">
        <x:v>ROK cash before transaction</x:v>
      </x:c>
      <x:c r="B31" s="744" t="n">
        <x:v>423</x:v>
      </x:c>
      <x:c r="C31" s="436" t="str">
        <x:v>S-050</x:v>
      </x:c>
      <x:c r="D31" s="664" t="str">
        <x:v>March 31, 2026 filed cash balance</x:v>
      </x:c>
      <x:c r="E31" s="664"/>
      <x:c r="F31" s="664"/>
      <x:c r="G31" s="538"/>
      <x:c r="H31" s="715" t="str">
        <x:v>Stock consideration</x:v>
      </x:c>
      <x:c r="I31" s="744" t="n">
        <x:f>B22</x:f>
        <x:v>9420.543999999998</x:v>
      </x:c>
      <x:c r="J31" s="664" t="str">
        <x:v>Direct stock consideration</x:v>
      </x:c>
      <x:c r="K31" s="664"/>
      <x:c r="L31" s="664"/>
      <x:c r="M31" s="664"/>
      <x:c r="N31" s="664"/>
      <x:c r="O31" s="664"/>
    </x:row>
    <x:row r="32" ht="22" customHeight="1">
      <x:c r="A32" s="715" t="str">
        <x:v>Less: ROK cash used</x:v>
      </x:c>
      <x:c r="B32" s="744" t="n">
        <x:f>I21</x:f>
        <x:v>211.95520000000033</x:v>
      </x:c>
      <x:c r="C32" s="436" t="str">
        <x:v>Sources &amp; Uses</x:v>
      </x:c>
      <x:c r="D32" s="664" t="str">
        <x:v>Cash source required to balance closing</x:v>
      </x:c>
      <x:c r="E32" s="664"/>
      <x:c r="F32" s="664"/>
      <x:c r="G32" s="538"/>
      <x:c r="H32" s="715" t="str">
        <x:v>ROK share price</x:v>
      </x:c>
      <x:c r="I32" s="663" t="n">
        <x:f>B17</x:f>
        <x:v>431.45</x:v>
      </x:c>
      <x:c r="J32" s="664" t="str">
        <x:v>S-051; Aug. 20, 2026 close</x:v>
      </x:c>
      <x:c r="K32" s="664"/>
      <x:c r="L32" s="664"/>
      <x:c r="M32" s="664"/>
      <x:c r="N32" s="664"/>
      <x:c r="O32" s="664"/>
    </x:row>
    <x:row r="33" ht="22" customHeight="1">
      <x:c r="A33" s="715" t="str">
        <x:v>ROK cash remaining</x:v>
      </x:c>
      <x:c r="B33" s="744" t="n">
        <x:f>B31-B32</x:f>
        <x:v>211.04479999999967</x:v>
      </x:c>
      <x:c r="C33" s="436" t="str">
        <x:v>Calculated</x:v>
      </x:c>
      <x:c r="D33" s="664" t="str">
        <x:v>Maintains more than $100 million of standalone liquidity</x:v>
      </x:c>
      <x:c r="E33" s="664"/>
      <x:c r="F33" s="664"/>
      <x:c r="G33" s="538"/>
      <x:c r="H33" s="715" t="str">
        <x:v>New ROK shares issued</x:v>
      </x:c>
      <x:c r="I33" s="749" t="n">
        <x:f>I31/I32</x:f>
        <x:v>21.834613512573874</x:v>
      </x:c>
      <x:c r="J33" s="664" t="str">
        <x:v>Stock consideration divided by buyer share price</x:v>
      </x:c>
      <x:c r="K33" s="664"/>
      <x:c r="L33" s="664"/>
      <x:c r="M33" s="664"/>
      <x:c r="N33" s="664"/>
      <x:c r="O33" s="664"/>
    </x:row>
    <x:row r="34" ht="22" customHeight="1">
      <x:c r="A34" s="715" t="str">
        <x:v>Add: acquired Cognex cash</x:v>
      </x:c>
      <x:c r="B34" s="744" t="n">
        <x:f>'DCF'!B19</x:f>
        <x:v>755.013</x:v>
      </x:c>
      <x:c r="C34" s="436" t="str">
        <x:v>DCF / S-022</x:v>
      </x:c>
      <x:c r="D34" s="664" t="str">
        <x:v>Retained post-close; not used to fund closing</x:v>
      </x:c>
      <x:c r="E34" s="664"/>
      <x:c r="F34" s="664"/>
      <x:c r="G34" s="538"/>
      <x:c r="H34" s="715" t="str">
        <x:v>ROK FY2026E diluted shares</x:v>
      </x:c>
      <x:c r="I34" s="560" t="n">
        <x:f>'ROK Forecast'!E13</x:f>
        <x:v>112.1952</x:v>
      </x:c>
      <x:c r="J34" s="664" t="str">
        <x:v>Buyer forecast share count</x:v>
      </x:c>
      <x:c r="K34" s="664"/>
      <x:c r="L34" s="664"/>
      <x:c r="M34" s="664"/>
      <x:c r="N34" s="664"/>
      <x:c r="O34" s="664"/>
    </x:row>
    <x:row r="35" ht="22" customHeight="1">
      <x:c r="A35" s="715" t="str">
        <x:v>Pro forma cash</x:v>
      </x:c>
      <x:c r="B35" s="744" t="n">
        <x:f>SUM(B33:B34)</x:f>
        <x:v>966.0577999999997</x:v>
      </x:c>
      <x:c r="C35" s="436" t="str">
        <x:v>Calculated</x:v>
      </x:c>
      <x:c r="D35" s="664" t="str">
        <x:v>Combined cash available after close</x:v>
      </x:c>
      <x:c r="E35" s="664"/>
      <x:c r="F35" s="664"/>
      <x:c r="G35" s="538"/>
      <x:c r="H35" s="715" t="str">
        <x:v>Pro forma diluted shares</x:v>
      </x:c>
      <x:c r="I35" s="749" t="n">
        <x:f>SUM(I33:I34)</x:f>
        <x:v>134.02981351257387</x:v>
      </x:c>
      <x:c r="J35" s="664" t="str">
        <x:v>Existing plus newly issued shares</x:v>
      </x:c>
      <x:c r="K35" s="664"/>
      <x:c r="L35" s="664"/>
      <x:c r="M35" s="664"/>
      <x:c r="N35" s="664"/>
      <x:c r="O35" s="664"/>
    </x:row>
    <x:row r="36" ht="22" customHeight="1">
      <x:c r="A36" s="715"/>
      <x:c r="B36" s="744"/>
      <x:c r="C36" s="436"/>
      <x:c r="D36" s="664"/>
      <x:c r="E36" s="664"/>
      <x:c r="F36" s="664"/>
      <x:c r="G36" s="538"/>
      <x:c r="H36" s="715" t="str">
        <x:v>Cognex holders ownership</x:v>
      </x:c>
      <x:c r="I36" s="750" t="n">
        <x:f>I33/I35</x:f>
        <x:v>0.1629086315972937</x:v>
      </x:c>
      <x:c r="J36" s="664" t="str">
        <x:v>Target holders as percent of pro forma shares</x:v>
      </x:c>
      <x:c r="K36" s="664"/>
      <x:c r="L36" s="664"/>
      <x:c r="M36" s="664"/>
      <x:c r="N36" s="664"/>
      <x:c r="O36" s="664"/>
    </x:row>
    <x:row r="37" ht="22" customHeight="1">
      <x:c r="A37" s="715" t="str">
        <x:v>ROK existing debt</x:v>
      </x:c>
      <x:c r="B37" s="744" t="n">
        <x:f>SUM(B38:B40)</x:f>
        <x:v>3691</x:v>
      </x:c>
      <x:c r="C37" s="436" t="str">
        <x:v>S-050</x:v>
      </x:c>
      <x:c r="D37" s="664" t="str">
        <x:v>March 31, 2026 funded debt</x:v>
      </x:c>
      <x:c r="E37" s="664"/>
      <x:c r="F37" s="664"/>
      <x:c r="G37" s="538"/>
      <x:c r="H37" s="715" t="str">
        <x:v>Existing ROK holders ownership</x:v>
      </x:c>
      <x:c r="I37" s="750" t="n">
        <x:f>I34/I35</x:f>
        <x:v>0.8370913684027064</x:v>
      </x:c>
      <x:c r="J37" s="664" t="str">
        <x:v>Legacy holders as percent of pro forma shares</x:v>
      </x:c>
      <x:c r="K37" s="664"/>
      <x:c r="L37" s="664"/>
      <x:c r="M37" s="664"/>
      <x:c r="N37" s="664"/>
      <x:c r="O37" s="664"/>
    </x:row>
    <x:row r="38" ht="22" customHeight="1">
      <x:c r="A38" s="715" t="str">
        <x:v>Short-term debt</x:v>
      </x:c>
      <x:c r="B38" s="744" t="n">
        <x:v>1118</x:v>
      </x:c>
      <x:c r="C38" s="436" t="str">
        <x:v>S-050</x:v>
      </x:c>
      <x:c r="D38" s="664" t="str">
        <x:v>Commercial paper and other short-term debt</x:v>
      </x:c>
      <x:c r="E38" s="664"/>
      <x:c r="F38" s="664"/>
      <x:c r="G38" s="538"/>
      <x:c r="H38" s="715"/>
      <x:c r="I38" s="436"/>
      <x:c r="J38" s="664"/>
      <x:c r="K38" s="664"/>
      <x:c r="L38" s="664"/>
      <x:c r="M38" s="664"/>
      <x:c r="N38" s="664"/>
      <x:c r="O38" s="664"/>
    </x:row>
    <x:row r="39" ht="22" customHeight="1">
      <x:c r="A39" s="715" t="str">
        <x:v>Current portion of long-term debt</x:v>
      </x:c>
      <x:c r="B39" s="744" t="n">
        <x:v>2</x:v>
      </x:c>
      <x:c r="C39" s="436" t="str">
        <x:v>S-050</x:v>
      </x:c>
      <x:c r="D39" s="664" t="str">
        <x:v>Current portion</x:v>
      </x:c>
      <x:c r="E39" s="664"/>
      <x:c r="F39" s="664"/>
      <x:c r="G39" s="538"/>
      <x:c r="H39" s="715" t="str">
        <x:v>Illustrative maximum gross leverage</x:v>
      </x:c>
      <x:c r="I39" s="751" t="n">
        <x:v>3</x:v>
      </x:c>
      <x:c r="J39" s="664" t="str">
        <x:v>Analyst assumption for financing discipline</x:v>
      </x:c>
      <x:c r="K39" s="664"/>
      <x:c r="L39" s="664"/>
      <x:c r="M39" s="664"/>
      <x:c r="N39" s="664"/>
      <x:c r="O39" s="664"/>
    </x:row>
    <x:row r="40" ht="22" customHeight="1">
      <x:c r="A40" s="715" t="str">
        <x:v>Long-term debt</x:v>
      </x:c>
      <x:c r="B40" s="744" t="n">
        <x:v>2571</x:v>
      </x:c>
      <x:c r="C40" s="436" t="str">
        <x:v>S-050</x:v>
      </x:c>
      <x:c r="D40" s="664" t="str">
        <x:v>Long-term notes</x:v>
      </x:c>
      <x:c r="E40" s="664"/>
      <x:c r="F40" s="664"/>
      <x:c r="G40" s="538"/>
      <x:c r="H40" s="715" t="str">
        <x:v>Maximum pro forma gross debt</x:v>
      </x:c>
      <x:c r="I40" s="744" t="n">
        <x:f>I39*B47</x:f>
        <x:v>7887.61515</x:v>
      </x:c>
      <x:c r="J40" s="664" t="str">
        <x:v>Gross leverage ceiling × pre-synergy EBITDA</x:v>
      </x:c>
      <x:c r="K40" s="664"/>
      <x:c r="L40" s="664"/>
      <x:c r="M40" s="664"/>
      <x:c r="N40" s="664"/>
      <x:c r="O40" s="664"/>
    </x:row>
    <x:row r="41" ht="22" customHeight="1">
      <x:c r="A41" s="715" t="str">
        <x:v>Add: new debt</x:v>
      </x:c>
      <x:c r="B41" s="744" t="n">
        <x:f>SUM(B14:B15)</x:f>
        <x:v>4000</x:v>
      </x:c>
      <x:c r="C41" s="436" t="str">
        <x:v>Transaction assumptions</x:v>
      </x:c>
      <x:c r="D41" s="664" t="str">
        <x:v>Selected acquisition debt</x:v>
      </x:c>
      <x:c r="E41" s="664"/>
      <x:c r="F41" s="664"/>
      <x:c r="G41" s="538"/>
      <x:c r="H41" s="715" t="str">
        <x:v>Implied new-debt capacity</x:v>
      </x:c>
      <x:c r="I41" s="744" t="n">
        <x:f>I40-B37</x:f>
        <x:v>4196.61515</x:v>
      </x:c>
      <x:c r="J41" s="664" t="str">
        <x:v>Maximum debt less existing debt</x:v>
      </x:c>
      <x:c r="K41" s="664"/>
      <x:c r="L41" s="664"/>
      <x:c r="M41" s="664"/>
      <x:c r="N41" s="664"/>
      <x:c r="O41" s="664"/>
    </x:row>
    <x:row r="42" ht="22" customHeight="1">
      <x:c r="A42" s="715" t="str">
        <x:v>Pro forma gross debt</x:v>
      </x:c>
      <x:c r="B42" s="744" t="n">
        <x:f>SUM(B37,B41)</x:f>
        <x:v>7691</x:v>
      </x:c>
      <x:c r="C42" s="436" t="str">
        <x:v>Calculated</x:v>
      </x:c>
      <x:c r="D42" s="664" t="str">
        <x:v>Existing plus new debt</x:v>
      </x:c>
      <x:c r="E42" s="664"/>
      <x:c r="F42" s="664"/>
      <x:c r="G42" s="538"/>
      <x:c r="H42" s="715" t="str">
        <x:v>Selected new debt</x:v>
      </x:c>
      <x:c r="I42" s="744" t="n">
        <x:f>B41</x:f>
        <x:v>4000</x:v>
      </x:c>
      <x:c r="J42" s="664" t="str">
        <x:v>Term loan plus senior notes</x:v>
      </x:c>
      <x:c r="K42" s="664"/>
      <x:c r="L42" s="664"/>
      <x:c r="M42" s="664"/>
      <x:c r="N42" s="664"/>
      <x:c r="O42" s="664"/>
    </x:row>
    <x:row r="43" ht="22" customHeight="1">
      <x:c r="A43" s="715" t="str">
        <x:v>Pro forma net debt</x:v>
      </x:c>
      <x:c r="B43" s="744" t="n">
        <x:f>B42-B35</x:f>
        <x:v>6724.9422</x:v>
      </x:c>
      <x:c r="C43" s="436" t="str">
        <x:v>Calculated</x:v>
      </x:c>
      <x:c r="D43" s="664" t="str">
        <x:v>Gross debt less combined cash</x:v>
      </x:c>
      <x:c r="E43" s="664"/>
      <x:c r="F43" s="664"/>
      <x:c r="G43" s="538"/>
      <x:c r="H43" s="715" t="str">
        <x:v>Unused debt capacity</x:v>
      </x:c>
      <x:c r="I43" s="744" t="n">
        <x:f>I41-I42</x:f>
        <x:v>196.61514999999963</x:v>
      </x:c>
      <x:c r="J43" s="664" t="str">
        <x:v>Debt capacity retained below ceiling</x:v>
      </x:c>
      <x:c r="K43" s="664"/>
      <x:c r="L43" s="664"/>
      <x:c r="M43" s="664"/>
      <x:c r="N43" s="664"/>
      <x:c r="O43" s="664"/>
    </x:row>
    <x:row r="44" ht="22" customHeight="1">
      <x:c r="A44" s="715"/>
      <x:c r="B44" s="744"/>
      <x:c r="C44" s="436"/>
      <x:c r="D44" s="664"/>
      <x:c r="E44" s="664"/>
      <x:c r="F44" s="664"/>
      <x:c r="G44" s="538"/>
      <x:c r="H44" s="715" t="str">
        <x:v>Minimum ROK cash balance</x:v>
      </x:c>
      <x:c r="I44" s="752" t="n">
        <x:v>100</x:v>
      </x:c>
      <x:c r="J44" s="664" t="str">
        <x:v>Illustrative standalone liquidity floor</x:v>
      </x:c>
      <x:c r="K44" s="664"/>
      <x:c r="L44" s="664"/>
      <x:c r="M44" s="664"/>
      <x:c r="N44" s="664"/>
      <x:c r="O44" s="664"/>
    </x:row>
    <x:row r="45" ht="22" customHeight="1">
      <x:c r="A45" s="715" t="str">
        <x:v>ROK FY2026E EBITDA proxy</x:v>
      </x:c>
      <x:c r="B45" s="744" t="n">
        <x:f>'ROK Forecast'!E10+'ROK Historical'!F25*('ROK Forecast'!E7/'ROK Forecast'!D7)</x:f>
        <x:v>2298.60505</x:v>
      </x:c>
      <x:c r="C45" s="436" t="str">
        <x:v>ROK Forecast / historical D&amp;A proxy</x:v>
      </x:c>
      <x:c r="D45" s="664" t="str">
        <x:v>Enterprise operating profit plus scaled FY2025 D&amp;A</x:v>
      </x:c>
      <x:c r="E45" s="664"/>
      <x:c r="F45" s="664"/>
      <x:c r="G45" s="538"/>
      <x:c r="H45" s="715"/>
      <x:c r="I45" s="436"/>
      <x:c r="J45" s="664"/>
      <x:c r="K45" s="664"/>
      <x:c r="L45" s="664"/>
      <x:c r="M45" s="664"/>
      <x:c r="N45" s="664"/>
      <x:c r="O45" s="664"/>
    </x:row>
    <x:row r="46" ht="22" customHeight="1">
      <x:c r="A46" s="715" t="str">
        <x:v>Cognex FY2026E EBITDA</x:v>
      </x:c>
      <x:c r="B46" s="744" t="n">
        <x:f>'CGNX Operating Model'!E32</x:f>
        <x:v>330.59999999999997</x:v>
      </x:c>
      <x:c r="C46" s="436" t="str">
        <x:v>CGNX Operating Model</x:v>
      </x:c>
      <x:c r="D46" s="664" t="str">
        <x:v>Standalone target EBITDA</x:v>
      </x:c>
      <x:c r="E46" s="664"/>
      <x:c r="F46" s="664"/>
      <x:c r="G46" s="538"/>
      <x:c r="H46" s="538"/>
      <x:c r="I46" s="538"/>
      <x:c r="J46" s="538"/>
      <x:c r="K46" s="538"/>
      <x:c r="L46" s="538"/>
      <x:c r="M46" s="538"/>
      <x:c r="N46" s="538"/>
      <x:c r="O46" s="538"/>
    </x:row>
    <x:row r="47" ht="22" customHeight="1">
      <x:c r="A47" s="715" t="str">
        <x:v>Pro forma EBITDA — pre-synergy</x:v>
      </x:c>
      <x:c r="B47" s="744" t="n">
        <x:f>SUM(B45:B46)</x:f>
        <x:v>2629.20505</x:v>
      </x:c>
      <x:c r="C47" s="436" t="str">
        <x:v>Calculated</x:v>
      </x:c>
      <x:c r="D47" s="664" t="str">
        <x:v>Before cost or revenue synergies</x:v>
      </x:c>
      <x:c r="E47" s="664"/>
      <x:c r="F47" s="664"/>
      <x:c r="G47" s="538"/>
      <x:c r="H47" s="538"/>
      <x:c r="I47" s="538"/>
      <x:c r="J47" s="538"/>
      <x:c r="K47" s="538"/>
      <x:c r="L47" s="538"/>
      <x:c r="M47" s="538"/>
      <x:c r="N47" s="538"/>
      <x:c r="O47" s="538"/>
    </x:row>
    <x:row r="48" ht="22" customHeight="1">
      <x:c r="A48" s="715" t="str">
        <x:v>Pro forma gross leverage</x:v>
      </x:c>
      <x:c r="B48" s="748" t="n">
        <x:f>B42/B47</x:f>
        <x:v>2.9252187842861477</x:v>
      </x:c>
      <x:c r="C48" s="436" t="str">
        <x:v>Calculated</x:v>
      </x:c>
      <x:c r="D48" s="664" t="str">
        <x:v>Gross debt divided by pre-synergy EBITDA</x:v>
      </x:c>
      <x:c r="E48" s="664"/>
      <x:c r="F48" s="664"/>
      <x:c r="G48" s="538"/>
      <x:c r="H48" s="538"/>
      <x:c r="I48" s="538"/>
      <x:c r="J48" s="538"/>
      <x:c r="K48" s="538"/>
      <x:c r="L48" s="538"/>
      <x:c r="M48" s="538"/>
      <x:c r="N48" s="538"/>
      <x:c r="O48" s="538"/>
    </x:row>
    <x:row r="49" ht="22" customHeight="1">
      <x:c r="A49" s="715" t="str">
        <x:v>Pro forma net leverage</x:v>
      </x:c>
      <x:c r="B49" s="748" t="n">
        <x:f>B43/B47</x:f>
        <x:v>2.557785365580368</x:v>
      </x:c>
      <x:c r="C49" s="436" t="str">
        <x:v>Calculated</x:v>
      </x:c>
      <x:c r="D49" s="664" t="str">
        <x:v>Net debt divided by pre-synergy EBITDA</x:v>
      </x:c>
      <x:c r="E49" s="664"/>
      <x:c r="F49" s="664"/>
      <x:c r="G49" s="538"/>
      <x:c r="H49" s="538"/>
      <x:c r="I49" s="538"/>
      <x:c r="J49" s="538"/>
      <x:c r="K49" s="538"/>
      <x:c r="L49" s="538"/>
      <x:c r="M49" s="538"/>
      <x:c r="N49" s="538"/>
      <x:c r="O49" s="538"/>
    </x:row>
    <x:row r="50" ht="22" customHeight="1">
      <x:c r="A50" s="715" t="str">
        <x:v>ROK FY2025 net interest expense</x:v>
      </x:c>
      <x:c r="B50" s="744" t="n">
        <x:v>143</x:v>
      </x:c>
      <x:c r="C50" s="436" t="str">
        <x:v>S-017</x:v>
      </x:c>
      <x:c r="D50" s="664" t="str">
        <x:v>Latest audited annual reference</x:v>
      </x:c>
      <x:c r="E50" s="664"/>
      <x:c r="F50" s="664"/>
      <x:c r="G50" s="538"/>
      <x:c r="H50" s="538"/>
      <x:c r="I50" s="538"/>
      <x:c r="J50" s="538"/>
      <x:c r="K50" s="538"/>
      <x:c r="L50" s="538"/>
      <x:c r="M50" s="538"/>
      <x:c r="N50" s="538"/>
      <x:c r="O50" s="538"/>
    </x:row>
    <x:row r="51" ht="22" customHeight="1">
      <x:c r="A51" s="715" t="str">
        <x:v>New annual interest expense</x:v>
      </x:c>
      <x:c r="B51" s="744" t="n">
        <x:f>B41*B16</x:f>
        <x:v>240</x:v>
      </x:c>
      <x:c r="C51" s="436" t="str">
        <x:v>Calculated</x:v>
      </x:c>
      <x:c r="D51" s="664" t="str">
        <x:v>New debt × assumed interest rate</x:v>
      </x:c>
      <x:c r="E51" s="664"/>
      <x:c r="F51" s="664"/>
      <x:c r="G51" s="538"/>
      <x:c r="H51" s="538"/>
      <x:c r="I51" s="538"/>
      <x:c r="J51" s="538"/>
      <x:c r="K51" s="538"/>
      <x:c r="L51" s="538"/>
      <x:c r="M51" s="538"/>
      <x:c r="N51" s="538"/>
      <x:c r="O51" s="538"/>
    </x:row>
    <x:row r="52" ht="22" customHeight="1">
      <x:c r="A52" s="715" t="str">
        <x:v>Pro forma interest expense</x:v>
      </x:c>
      <x:c r="B52" s="744" t="n">
        <x:f>SUM(B50:B51)</x:f>
        <x:v>383</x:v>
      </x:c>
      <x:c r="C52" s="436" t="str">
        <x:v>Calculated</x:v>
      </x:c>
      <x:c r="D52" s="664" t="str">
        <x:v>Existing plus new interest</x:v>
      </x:c>
      <x:c r="E52" s="664"/>
      <x:c r="F52" s="664"/>
      <x:c r="G52" s="538"/>
      <x:c r="H52" s="538"/>
      <x:c r="I52" s="538"/>
      <x:c r="J52" s="538"/>
      <x:c r="K52" s="538"/>
      <x:c r="L52" s="538"/>
      <x:c r="M52" s="538"/>
      <x:c r="N52" s="538"/>
      <x:c r="O52" s="538"/>
    </x:row>
    <x:row r="53" ht="22" customHeight="1">
      <x:c r="A53" s="715" t="str">
        <x:v>EBITDA / interest coverage</x:v>
      </x:c>
      <x:c r="B53" s="748" t="n">
        <x:f>B47/B52</x:f>
        <x:v>6.864765143603133</x:v>
      </x:c>
      <x:c r="C53" s="436" t="str">
        <x:v>S-050 covenant reference</x:v>
      </x:c>
      <x:c r="D53" s="664" t="str">
        <x:v>Comfortably exceeds the 3.0x minimum interest-coverage covenant</x:v>
      </x:c>
      <x:c r="E53" s="664"/>
      <x:c r="F53" s="664"/>
      <x:c r="G53" s="538"/>
      <x:c r="H53" s="538"/>
      <x:c r="I53" s="538"/>
      <x:c r="J53" s="538"/>
      <x:c r="K53" s="538"/>
      <x:c r="L53" s="538"/>
      <x:c r="M53" s="538"/>
      <x:c r="N53" s="538"/>
      <x:c r="O53" s="538"/>
    </x:row>
    <x:row r="54" ht="18" customHeight="1">
      <x:c r="A54" s="538"/>
      <x:c r="B54" s="538"/>
      <x:c r="C54" s="538"/>
      <x:c r="D54" s="538"/>
      <x:c r="E54" s="538"/>
      <x:c r="F54" s="538"/>
      <x:c r="G54" s="538"/>
      <x:c r="H54" s="538"/>
      <x:c r="I54" s="538"/>
      <x:c r="J54" s="538"/>
      <x:c r="K54" s="538"/>
      <x:c r="L54" s="538"/>
      <x:c r="M54" s="538"/>
      <x:c r="N54" s="538"/>
      <x:c r="O54" s="538"/>
    </x:row>
    <x:row r="55" ht="18" customHeight="1">
      <x:c r="A55" s="713" t="str">
        <x:v>ANALYST INTERPRETATION</x:v>
      </x:c>
      <x:c r="B55" s="713"/>
      <x:c r="C55" s="713"/>
      <x:c r="D55" s="713"/>
      <x:c r="E55" s="713"/>
      <x:c r="F55" s="713"/>
      <x:c r="G55" s="713"/>
      <x:c r="H55" s="713"/>
      <x:c r="I55" s="713"/>
      <x:c r="J55" s="713"/>
      <x:c r="K55" s="713"/>
      <x:c r="L55" s="713"/>
      <x:c r="M55" s="713"/>
      <x:c r="N55" s="713"/>
      <x:c r="O55" s="713"/>
    </x:row>
    <x:row r="56" ht="28" customHeight="1">
      <x:c r="A56" s="731" t="str">
        <x:v>A 70% stock consideration mix is intentionally stock-heavy because the $13.5 billion equity purchase price is large relative to Rockwell’s existing balance sheet. Stock preserves liquidity and limits pro forma gross leverage to approximately 2.9x before synergies.</x:v>
      </x:c>
      <x:c r="B56" s="731"/>
      <x:c r="C56" s="731"/>
      <x:c r="D56" s="731"/>
      <x:c r="E56" s="731"/>
      <x:c r="F56" s="731"/>
      <x:c r="G56" s="731"/>
      <x:c r="H56" s="731"/>
      <x:c r="I56" s="731"/>
      <x:c r="J56" s="731"/>
      <x:c r="K56" s="731"/>
      <x:c r="L56" s="731"/>
      <x:c r="M56" s="731"/>
      <x:c r="N56" s="731"/>
      <x:c r="O56" s="731"/>
    </x:row>
    <x:row r="57" ht="28" customHeight="1">
      <x:c r="A57" s="731" t="str">
        <x:v>The model assumes $4.0 billion of new debt split between a bridge / term loan and senior notes. Target cash is acquired and included in post-close liquidity, but is not treated as a source that funds the purchase at closing.</x:v>
      </x:c>
      <x:c r="B57" s="731"/>
      <x:c r="C57" s="731"/>
      <x:c r="D57" s="731"/>
      <x:c r="E57" s="731"/>
      <x:c r="F57" s="731"/>
      <x:c r="G57" s="731"/>
      <x:c r="H57" s="731"/>
      <x:c r="I57" s="731"/>
      <x:c r="J57" s="731"/>
      <x:c r="K57" s="731"/>
      <x:c r="L57" s="731"/>
      <x:c r="M57" s="731"/>
      <x:c r="N57" s="731"/>
      <x:c r="O57" s="731"/>
    </x:row>
    <x:row r="58" ht="28" customHeight="1">
      <x:c r="A58" s="732" t="str">
        <x:v>This financing case is preliminary. Purchase accounting and accretion/dilution will test whether the $80 offer remains economically supportable after incremental interest, stock issuance, intangible amortization, and synergies.</x:v>
      </x:c>
      <x:c r="B58" s="732"/>
      <x:c r="C58" s="732"/>
      <x:c r="D58" s="732"/>
      <x:c r="E58" s="732"/>
      <x:c r="F58" s="732"/>
      <x:c r="G58" s="732"/>
      <x:c r="H58" s="732"/>
      <x:c r="I58" s="732"/>
      <x:c r="J58" s="732"/>
      <x:c r="K58" s="732"/>
      <x:c r="L58" s="732"/>
      <x:c r="M58" s="732"/>
      <x:c r="N58" s="732"/>
      <x:c r="O58" s="732"/>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E17:F17"/>
    <x:mergeCell ref="E18:F18"/>
    <x:mergeCell ref="H5:O5"/>
    <x:mergeCell ref="J6:O6"/>
    <x:mergeCell ref="J7:O7"/>
    <x:mergeCell ref="J8:O8"/>
    <x:mergeCell ref="J9:O9"/>
    <x:mergeCell ref="J10:O10"/>
    <x:mergeCell ref="J11:O11"/>
    <x:mergeCell ref="J12:O12"/>
    <x:mergeCell ref="H14:O14"/>
    <x:mergeCell ref="J15:O15"/>
    <x:mergeCell ref="J16:O16"/>
    <x:mergeCell ref="J17:O17"/>
    <x:mergeCell ref="J18:O18"/>
    <x:mergeCell ref="A20:F20"/>
    <x:mergeCell ref="H20:M20"/>
    <x:mergeCell ref="C21:F21"/>
    <x:mergeCell ref="C22:F22"/>
    <x:mergeCell ref="C23:F23"/>
    <x:mergeCell ref="C24:F24"/>
    <x:mergeCell ref="C25:F25"/>
    <x:mergeCell ref="C26:F26"/>
    <x:mergeCell ref="J21:M21"/>
    <x:mergeCell ref="J22:M22"/>
    <x:mergeCell ref="J23:M23"/>
    <x:mergeCell ref="J24:M24"/>
    <x:mergeCell ref="J25:M25"/>
    <x:mergeCell ref="J26:M26"/>
    <x:mergeCell ref="J28:M28"/>
    <x:mergeCell ref="A30:F30"/>
    <x:mergeCell ref="D31:F31"/>
    <x:mergeCell ref="D32:F32"/>
    <x:mergeCell ref="D33:F33"/>
    <x:mergeCell ref="D34:F34"/>
    <x:mergeCell ref="D35:F35"/>
    <x:mergeCell ref="D36:F36"/>
    <x:mergeCell ref="D37:F37"/>
    <x:mergeCell ref="D38:F38"/>
    <x:mergeCell ref="D39:F39"/>
    <x:mergeCell ref="D40:F40"/>
    <x:mergeCell ref="D41:F41"/>
    <x:mergeCell ref="D42:F42"/>
    <x:mergeCell ref="D43:F43"/>
    <x:mergeCell ref="D44:F44"/>
    <x:mergeCell ref="D45:F45"/>
    <x:mergeCell ref="D46:F46"/>
    <x:mergeCell ref="D47:F47"/>
    <x:mergeCell ref="D48:F48"/>
    <x:mergeCell ref="D49:F49"/>
    <x:mergeCell ref="D50:F50"/>
    <x:mergeCell ref="D51:F51"/>
    <x:mergeCell ref="D52:F52"/>
    <x:mergeCell ref="D53:F53"/>
    <x:mergeCell ref="H30:O30"/>
    <x:mergeCell ref="J31:O31"/>
    <x:mergeCell ref="J32:O32"/>
    <x:mergeCell ref="J33:O33"/>
    <x:mergeCell ref="J34:O34"/>
    <x:mergeCell ref="J35:O35"/>
    <x:mergeCell ref="J36:O36"/>
    <x:mergeCell ref="J37:O37"/>
    <x:mergeCell ref="J38:O38"/>
    <x:mergeCell ref="J39:O39"/>
    <x:mergeCell ref="J40:O40"/>
    <x:mergeCell ref="J41:O41"/>
    <x:mergeCell ref="J42:O42"/>
    <x:mergeCell ref="J43:O43"/>
    <x:mergeCell ref="J44:O44"/>
    <x:mergeCell ref="J45:O45"/>
    <x:mergeCell ref="A55:O55"/>
    <x:mergeCell ref="A56:O56"/>
    <x:mergeCell ref="A57:O57"/>
    <x:mergeCell ref="A58:O5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4" hidden="0" customWidth="1"/>
    <x:col min="4" max="4" width="13" hidden="0" customWidth="1"/>
    <x:col min="5" max="5" width="14" hidden="0" customWidth="1"/>
    <x:col min="6" max="6" width="34" hidden="0" customWidth="1"/>
    <x:col min="7" max="7" width="24" hidden="0" customWidth="1"/>
    <x:col min="8" max="8" width="3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71" t="str">
        <x:v>Purchase Accounting</x:v>
      </x:c>
      <x:c r="B1" s="771"/>
      <x:c r="C1" s="771"/>
      <x:c r="D1" s="771"/>
      <x:c r="E1" s="771"/>
      <x:c r="F1" s="771"/>
      <x:c r="G1" s="771"/>
      <x:c r="H1" s="771"/>
      <x:c r="I1" s="771"/>
      <x:c r="J1" s="771"/>
      <x:c r="K1" s="771"/>
      <x:c r="L1" s="771"/>
      <x:c r="M1" s="771"/>
      <x:c r="N1" s="771"/>
      <x:c r="O1" s="771"/>
    </x:row>
    <x:row r="2" ht="18" customHeight="1">
      <x:c r="A2" s="773" t="str">
        <x:v>Illustrative purchase-price allocation, new goodwill, deferred taxes, and incremental non-cash expense | USD millions</x:v>
      </x:c>
      <x:c r="B2" s="773"/>
      <x:c r="C2" s="773"/>
      <x:c r="D2" s="773"/>
      <x:c r="E2" s="773"/>
      <x:c r="F2" s="773"/>
      <x:c r="G2" s="773"/>
      <x:c r="H2" s="773"/>
      <x:c r="I2" s="773"/>
      <x:c r="J2" s="773"/>
      <x:c r="K2" s="773"/>
      <x:c r="L2" s="773"/>
      <x:c r="M2" s="773"/>
      <x:c r="N2" s="773"/>
      <x:c r="O2" s="773"/>
    </x:row>
    <x:row r="3" ht="18" customHeight="1">
      <x:c r="A3" s="432" t="str">
        <x:v>Status</x:v>
      </x:c>
      <x:c r="B3" s="775" t="str">
        <x:v>Complete — preliminary allocation for merger-model purposes; third-party valuation work would be required at closing</x:v>
      </x:c>
      <x:c r="C3" s="775"/>
      <x:c r="D3" s="775"/>
      <x:c r="E3" s="775"/>
      <x:c r="F3" s="775"/>
      <x:c r="G3" s="775"/>
      <x:c r="H3" s="775"/>
      <x:c r="I3" s="775"/>
      <x:c r="J3" s="775"/>
      <x:c r="K3" s="775"/>
      <x:c r="L3" s="775"/>
      <x:c r="M3" s="775"/>
      <x:c r="N3" s="775"/>
      <x:c r="O3" s="775"/>
    </x:row>
    <x:row r="4" ht="18" customHeight="1">
      <x:c r="A4" s="538"/>
      <x:c r="B4" s="538"/>
      <x:c r="C4" s="538"/>
      <x:c r="D4" s="538"/>
      <x:c r="E4" s="538"/>
      <x:c r="F4" s="538"/>
      <x:c r="G4" s="538"/>
      <x:c r="H4" s="538"/>
      <x:c r="I4" s="538"/>
      <x:c r="J4" s="538"/>
      <x:c r="K4" s="538"/>
      <x:c r="L4" s="538"/>
      <x:c r="M4" s="538"/>
      <x:c r="N4" s="538"/>
      <x:c r="O4" s="538"/>
    </x:row>
    <x:row r="5" ht="18" customHeight="1">
      <x:c r="A5" s="777" t="str">
        <x:v>PURCHASE ACCOUNTING INPUTS</x:v>
      </x:c>
      <x:c r="B5" s="777"/>
      <x:c r="C5" s="777"/>
      <x:c r="D5" s="777"/>
      <x:c r="E5" s="777"/>
      <x:c r="F5" s="777"/>
      <x:c r="G5" s="538"/>
      <x:c r="H5" s="777" t="str">
        <x:v>PURCHASE-PRICE ALLOCATION BRIDGE</x:v>
      </x:c>
      <x:c r="I5" s="777"/>
      <x:c r="J5" s="777"/>
      <x:c r="K5" s="777"/>
      <x:c r="L5" s="777"/>
      <x:c r="M5" s="777"/>
      <x:c r="N5" s="777"/>
      <x:c r="O5" s="777"/>
    </x:row>
    <x:row r="6" ht="24" customHeight="1">
      <x:c r="A6" s="779" t="str">
        <x:v>Purchase consideration</x:v>
      </x:c>
      <x:c r="B6" s="794" t="n">
        <x:f>'Sources &amp; Uses'!I6</x:f>
        <x:v>13457.919999999998</x:v>
      </x:c>
      <x:c r="C6" s="436" t="str">
        <x:v>$mm</x:v>
      </x:c>
      <x:c r="D6" s="436" t="str">
        <x:v>Sources &amp; Uses</x:v>
      </x:c>
      <x:c r="E6" s="664" t="str">
        <x:v>Equity value transferred to Cognex shareholders; transaction fees are expensed separately</x:v>
      </x:c>
      <x:c r="F6" s="664"/>
      <x:c r="G6" s="538"/>
      <x:c r="H6" s="779" t="str">
        <x:v>Purchase consideration</x:v>
      </x:c>
      <x:c r="I6" s="794" t="n">
        <x:f>B6</x:f>
        <x:v>13457.919999999998</x:v>
      </x:c>
      <x:c r="J6" s="664" t="str">
        <x:v>Cash and stock consideration paid for Cognex equity</x:v>
      </x:c>
      <x:c r="K6" s="664"/>
      <x:c r="L6" s="664"/>
      <x:c r="M6" s="664"/>
      <x:c r="N6" s="664"/>
      <x:c r="O6" s="664"/>
    </x:row>
    <x:row r="7" ht="24" customHeight="1">
      <x:c r="A7" s="779" t="str">
        <x:v>Target shareholders’ equity</x:v>
      </x:c>
      <x:c r="B7" s="744" t="n">
        <x:v>1629.555</x:v>
      </x:c>
      <x:c r="C7" s="436" t="str">
        <x:v>$mm</x:v>
      </x:c>
      <x:c r="D7" s="436" t="str">
        <x:v>S-052</x:v>
      </x:c>
      <x:c r="E7" s="664" t="str">
        <x:v>Unaudited July 5, 2026 balance-sheet carrying value</x:v>
      </x:c>
      <x:c r="F7" s="664"/>
      <x:c r="G7" s="538"/>
      <x:c r="H7" s="779" t="str">
        <x:v>Tangible book value</x:v>
      </x:c>
      <x:c r="I7" s="744" t="n">
        <x:f>B10</x:f>
        <x:v>1183.7060000000001</x:v>
      </x:c>
      <x:c r="J7" s="664" t="str">
        <x:v>Target book equity excluding historical goodwill and intangibles</x:v>
      </x:c>
      <x:c r="K7" s="664"/>
      <x:c r="L7" s="664"/>
      <x:c r="M7" s="664"/>
      <x:c r="N7" s="664"/>
      <x:c r="O7" s="664"/>
    </x:row>
    <x:row r="8" ht="24" customHeight="1">
      <x:c r="A8" s="779" t="str">
        <x:v>Less: existing goodwill</x:v>
      </x:c>
      <x:c r="B8" s="744" t="n">
        <x:v>381.385</x:v>
      </x:c>
      <x:c r="C8" s="436" t="str">
        <x:v>$mm</x:v>
      </x:c>
      <x:c r="D8" s="436" t="str">
        <x:v>S-052</x:v>
      </x:c>
      <x:c r="E8" s="664" t="str">
        <x:v>Historical acquisition goodwill is removed before establishing new acquisition goodwill</x:v>
      </x:c>
      <x:c r="F8" s="664"/>
      <x:c r="G8" s="538"/>
      <x:c r="H8" s="779" t="str">
        <x:v>Customer-related intangibles</x:v>
      </x:c>
      <x:c r="I8" s="744" t="n">
        <x:f>C18</x:f>
        <x:v>2960.7423999999996</x:v>
      </x:c>
      <x:c r="J8" s="664" t="str">
        <x:v>Fair value of customer relationships</x:v>
      </x:c>
      <x:c r="K8" s="664"/>
      <x:c r="L8" s="664"/>
      <x:c r="M8" s="664"/>
      <x:c r="N8" s="664"/>
      <x:c r="O8" s="664"/>
    </x:row>
    <x:row r="9" ht="24" customHeight="1">
      <x:c r="A9" s="779" t="str">
        <x:v>Less: existing intangible assets</x:v>
      </x:c>
      <x:c r="B9" s="744" t="n">
        <x:v>64.464</x:v>
      </x:c>
      <x:c r="C9" s="436" t="str">
        <x:v>$mm</x:v>
      </x:c>
      <x:c r="D9" s="436" t="str">
        <x:v>S-052</x:v>
      </x:c>
      <x:c r="E9" s="664" t="str">
        <x:v>Historical finite-lived intangibles are replaced by the new fair-value allocation</x:v>
      </x:c>
      <x:c r="F9" s="664"/>
      <x:c r="G9" s="538"/>
      <x:c r="H9" s="779" t="str">
        <x:v>Technology-related intangibles</x:v>
      </x:c>
      <x:c r="I9" s="744" t="n">
        <x:f>C19</x:f>
        <x:v>1614.9503999999997</x:v>
      </x:c>
      <x:c r="J9" s="664" t="str">
        <x:v>Fair value of developed technology</x:v>
      </x:c>
      <x:c r="K9" s="664"/>
      <x:c r="L9" s="664"/>
      <x:c r="M9" s="664"/>
      <x:c r="N9" s="664"/>
      <x:c r="O9" s="664"/>
    </x:row>
    <x:row r="10" ht="24" customHeight="1">
      <x:c r="A10" s="779" t="str">
        <x:v>Tangible book value</x:v>
      </x:c>
      <x:c r="B10" s="744" t="n">
        <x:f>B7-B8-B9</x:f>
        <x:v>1183.7060000000001</x:v>
      </x:c>
      <x:c r="C10" s="436" t="str">
        <x:v>$mm</x:v>
      </x:c>
      <x:c r="D10" s="436" t="str">
        <x:v>Calculated</x:v>
      </x:c>
      <x:c r="E10" s="664" t="str">
        <x:v>Book equity less existing goodwill and intangibles</x:v>
      </x:c>
      <x:c r="F10" s="664"/>
      <x:c r="G10" s="538"/>
      <x:c r="H10" s="779" t="str">
        <x:v>Trade names</x:v>
      </x:c>
      <x:c r="I10" s="744" t="n">
        <x:f>C20</x:f>
        <x:v>403.73759999999993</x:v>
      </x:c>
      <x:c r="J10" s="664" t="str">
        <x:v>Fair value of trade names</x:v>
      </x:c>
      <x:c r="K10" s="664"/>
      <x:c r="L10" s="664"/>
      <x:c r="M10" s="664"/>
      <x:c r="N10" s="664"/>
      <x:c r="O10" s="664"/>
    </x:row>
    <x:row r="11" ht="24" customHeight="1">
      <x:c r="A11" s="779" t="str">
        <x:v>Tax rate</x:v>
      </x:c>
      <x:c r="B11" s="795" t="n">
        <x:v>0.21</x:v>
      </x:c>
      <x:c r="C11" s="436" t="str">
        <x:v>%</x:v>
      </x:c>
      <x:c r="D11" s="436" t="str">
        <x:v>Analyst assumption</x:v>
      </x:c>
      <x:c r="E11" s="664" t="str">
        <x:v>Illustrative statutory tax rate applied to fair-value step-ups</x:v>
      </x:c>
      <x:c r="F11" s="664"/>
      <x:c r="G11" s="538"/>
      <x:c r="H11" s="779" t="str">
        <x:v>Order backlog</x:v>
      </x:c>
      <x:c r="I11" s="744" t="n">
        <x:f>C21</x:f>
        <x:v>134.5792</x:v>
      </x:c>
      <x:c r="J11" s="664" t="str">
        <x:v>Fair value of acquired backlog</x:v>
      </x:c>
      <x:c r="K11" s="664"/>
      <x:c r="L11" s="664"/>
      <x:c r="M11" s="664"/>
      <x:c r="N11" s="664"/>
      <x:c r="O11" s="664"/>
    </x:row>
    <x:row r="12" ht="24" customHeight="1">
      <x:c r="A12" s="779" t="str">
        <x:v>Months per year</x:v>
      </x:c>
      <x:c r="B12" s="796" t="n">
        <x:v>12</x:v>
      </x:c>
      <x:c r="C12" s="436" t="str">
        <x:v>months</x:v>
      </x:c>
      <x:c r="D12" s="436" t="str">
        <x:v>Model convention</x:v>
      </x:c>
      <x:c r="E12" s="664" t="str">
        <x:v>Used to calculate straight-line expense by ownership period</x:v>
      </x:c>
      <x:c r="F12" s="664"/>
      <x:c r="G12" s="538"/>
      <x:c r="H12" s="779" t="str">
        <x:v>Inventory step-up</x:v>
      </x:c>
      <x:c r="I12" s="744" t="n">
        <x:f>C22</x:f>
        <x:v>67.2896</x:v>
      </x:c>
      <x:c r="J12" s="664" t="str">
        <x:v>Temporary fair-value uplift to inventory</x:v>
      </x:c>
      <x:c r="K12" s="664"/>
      <x:c r="L12" s="664"/>
      <x:c r="M12" s="664"/>
      <x:c r="N12" s="664"/>
      <x:c r="O12" s="664"/>
    </x:row>
    <x:row r="13" ht="24" customHeight="1">
      <x:c r="A13" s="779" t="str">
        <x:v>First fiscal-year ownership</x:v>
      </x:c>
      <x:c r="B13" s="796" t="n">
        <x:v>6</x:v>
      </x:c>
      <x:c r="C13" s="436" t="str">
        <x:v>months</x:v>
      </x:c>
      <x:c r="D13" s="436" t="str">
        <x:v>Analyst convention</x:v>
      </x:c>
      <x:c r="E13" s="664" t="str">
        <x:v>Six months from the March 31 close to Rockwell’s September 30 fiscal year-end</x:v>
      </x:c>
      <x:c r="F13" s="664"/>
      <x:c r="G13" s="538"/>
      <x:c r="H13" s="779" t="str">
        <x:v>PP&amp;E step-up</x:v>
      </x:c>
      <x:c r="I13" s="744" t="n">
        <x:f>C23</x:f>
        <x:v>67.2896</x:v>
      </x:c>
      <x:c r="J13" s="664" t="str">
        <x:v>Fair-value uplift to property and equipment</x:v>
      </x:c>
      <x:c r="K13" s="664"/>
      <x:c r="L13" s="664"/>
      <x:c r="M13" s="664"/>
      <x:c r="N13" s="664"/>
      <x:c r="O13" s="664"/>
    </x:row>
    <x:row r="14" ht="24" customHeight="1">
      <x:c r="A14" s="779" t="str">
        <x:v>Illustrative close date</x:v>
      </x:c>
      <x:c r="B14" s="797" t="n">
        <x:f>'Sources &amp; Uses'!B18</x:f>
        <x:v>46477</x:v>
      </x:c>
      <x:c r="C14" s="436" t="str">
        <x:v>date</x:v>
      </x:c>
      <x:c r="D14" s="436" t="str">
        <x:v>Sources &amp; Uses</x:v>
      </x:c>
      <x:c r="E14" s="664" t="str">
        <x:v>Links to the financing schedule</x:v>
      </x:c>
      <x:c r="F14" s="664"/>
      <x:c r="G14" s="538"/>
      <x:c r="H14" s="779" t="str">
        <x:v>Gross fair-value write-ups</x:v>
      </x:c>
      <x:c r="I14" s="744" t="n">
        <x:f>SUM(I8:I13)</x:f>
        <x:v>5248.5887999999995</x:v>
      </x:c>
      <x:c r="J14" s="664" t="str">
        <x:v>Total identifiable asset write-ups</x:v>
      </x:c>
      <x:c r="K14" s="664"/>
      <x:c r="L14" s="664"/>
      <x:c r="M14" s="664"/>
      <x:c r="N14" s="664"/>
      <x:c r="O14" s="664"/>
    </x:row>
    <x:row r="15" ht="24" customHeight="1">
      <x:c r="A15" s="538"/>
      <x:c r="B15" s="538"/>
      <x:c r="C15" s="538"/>
      <x:c r="D15" s="538"/>
      <x:c r="E15" s="538"/>
      <x:c r="F15" s="538"/>
      <x:c r="G15" s="538"/>
      <x:c r="H15" s="779" t="str">
        <x:v>Incremental deferred tax liability</x:v>
      </x:c>
      <x:c r="I15" s="744" t="n">
        <x:f>I14*$B$11</x:f>
        <x:v>1102.203648</x:v>
      </x:c>
      <x:c r="J15" s="664" t="str">
        <x:v>Assumes tax basis does not step up; increases goodwill</x:v>
      </x:c>
      <x:c r="K15" s="664"/>
      <x:c r="L15" s="664"/>
      <x:c r="M15" s="664"/>
      <x:c r="N15" s="664"/>
      <x:c r="O15" s="664"/>
    </x:row>
    <x:row r="16" ht="24" customHeight="1">
      <x:c r="A16" s="777" t="str">
        <x:v>FAIR-VALUE ALLOCATION ASSUMPTIONS</x:v>
      </x:c>
      <x:c r="B16" s="777"/>
      <x:c r="C16" s="777"/>
      <x:c r="D16" s="777"/>
      <x:c r="E16" s="777"/>
      <x:c r="F16" s="777"/>
      <x:c r="G16" s="538"/>
      <x:c r="H16" s="779" t="str">
        <x:v>Net identifiable assets</x:v>
      </x:c>
      <x:c r="I16" s="744" t="n">
        <x:f>I7+I14-I15</x:f>
        <x:v>5330.091152</x:v>
      </x:c>
      <x:c r="J16" s="664" t="str">
        <x:v>Tangible book value plus write-ups less deferred tax liability</x:v>
      </x:c>
      <x:c r="K16" s="664"/>
      <x:c r="L16" s="664"/>
      <x:c r="M16" s="664"/>
      <x:c r="N16" s="664"/>
      <x:c r="O16" s="664"/>
    </x:row>
    <x:row r="17" ht="24" customHeight="1">
      <x:c r="A17" s="782" t="str">
        <x:v>Asset</x:v>
      </x:c>
      <x:c r="B17" s="782" t="str">
        <x:v>% of consideration</x:v>
      </x:c>
      <x:c r="C17" s="782" t="str">
        <x:v>Fair value</x:v>
      </x:c>
      <x:c r="D17" s="782" t="str">
        <x:v>Useful life</x:v>
      </x:c>
      <x:c r="E17" s="782" t="str">
        <x:v>Annual expense</x:v>
      </x:c>
      <x:c r="F17" s="809" t="str">
        <x:v>Rationale</x:v>
      </x:c>
      <x:c r="G17" s="538"/>
      <x:c r="H17" s="779" t="str">
        <x:v>New goodwill</x:v>
      </x:c>
      <x:c r="I17" s="801" t="n">
        <x:f>I6-I16</x:f>
        <x:v>8127.828847999998</x:v>
      </x:c>
      <x:c r="J17" s="664" t="str">
        <x:v>Residual consideration not assigned to identifiable net assets</x:v>
      </x:c>
      <x:c r="K17" s="664"/>
      <x:c r="L17" s="664"/>
      <x:c r="M17" s="664"/>
      <x:c r="N17" s="664"/>
      <x:c r="O17" s="664"/>
    </x:row>
    <x:row r="18" ht="24" customHeight="1">
      <x:c r="A18" s="779" t="str">
        <x:v>Customer relationships</x:v>
      </x:c>
      <x:c r="B18" s="795" t="n">
        <x:v>0.22</x:v>
      </x:c>
      <x:c r="C18" s="744" t="n">
        <x:f>$B$6*B18</x:f>
        <x:v>2960.7423999999996</x:v>
      </x:c>
      <x:c r="D18" s="800" t="n">
        <x:v>15</x:v>
      </x:c>
      <x:c r="E18" s="744" t="n">
        <x:f>C18/D18</x:f>
        <x:v>197.38282666666663</x:v>
      </x:c>
      <x:c r="F18" s="664" t="str">
        <x:v>Recurring installed-base relationships and channel access</x:v>
      </x:c>
      <x:c r="G18" s="538"/>
      <x:c r="H18" s="779" t="str">
        <x:v>Goodwill / consideration</x:v>
      </x:c>
      <x:c r="I18" s="802" t="n">
        <x:f>I17/I6</x:f>
        <x:v>0.6039439116891763</x:v>
      </x:c>
      <x:c r="J18" s="664" t="str">
        <x:v>High goodwill share reflects strategic value and the elevated offer multiple</x:v>
      </x:c>
      <x:c r="K18" s="664"/>
      <x:c r="L18" s="664"/>
      <x:c r="M18" s="664"/>
      <x:c r="N18" s="664"/>
      <x:c r="O18" s="664"/>
    </x:row>
    <x:row r="19" ht="24" customHeight="1">
      <x:c r="A19" s="779" t="str">
        <x:v>Developed technology</x:v>
      </x:c>
      <x:c r="B19" s="795" t="n">
        <x:v>0.12</x:v>
      </x:c>
      <x:c r="C19" s="744" t="n">
        <x:f>$B$6*B19</x:f>
        <x:v>1614.9503999999997</x:v>
      </x:c>
      <x:c r="D19" s="800" t="n">
        <x:v>7</x:v>
      </x:c>
      <x:c r="E19" s="744" t="n">
        <x:f>C19/D19</x:f>
        <x:v>230.70719999999997</x:v>
      </x:c>
      <x:c r="F19" s="664" t="str">
        <x:v>Machine-vision software, algorithms, and product technology</x:v>
      </x:c>
      <x:c r="G19" s="538"/>
      <x:c r="H19" s="538"/>
      <x:c r="I19" s="538"/>
      <x:c r="J19" s="554"/>
      <x:c r="K19" s="554"/>
      <x:c r="L19" s="554"/>
      <x:c r="M19" s="554"/>
      <x:c r="N19" s="554"/>
      <x:c r="O19" s="554"/>
    </x:row>
    <x:row r="20" ht="24" customHeight="1">
      <x:c r="A20" s="779" t="str">
        <x:v>Trade names</x:v>
      </x:c>
      <x:c r="B20" s="795" t="n">
        <x:v>0.03</x:v>
      </x:c>
      <x:c r="C20" s="744" t="n">
        <x:f>$B$6*B20</x:f>
        <x:v>403.73759999999993</x:v>
      </x:c>
      <x:c r="D20" s="800" t="n">
        <x:v>15</x:v>
      </x:c>
      <x:c r="E20" s="744" t="n">
        <x:f>C20/D20</x:f>
        <x:v>26.915839999999996</x:v>
      </x:c>
      <x:c r="F20" s="664" t="str">
        <x:v>Cognex brand and product-family names</x:v>
      </x:c>
      <x:c r="G20" s="538"/>
      <x:c r="H20" s="777" t="str">
        <x:v>KEY OUTPUTS</x:v>
      </x:c>
      <x:c r="I20" s="777"/>
      <x:c r="J20" s="810"/>
      <x:c r="K20" s="810"/>
      <x:c r="L20" s="810"/>
      <x:c r="M20" s="810"/>
      <x:c r="N20" s="810"/>
      <x:c r="O20" s="810"/>
    </x:row>
    <x:row r="21" ht="24" customHeight="1">
      <x:c r="A21" s="779" t="str">
        <x:v>Order backlog</x:v>
      </x:c>
      <x:c r="B21" s="795" t="n">
        <x:v>0.01</x:v>
      </x:c>
      <x:c r="C21" s="744" t="n">
        <x:f>$B$6*B21</x:f>
        <x:v>134.5792</x:v>
      </x:c>
      <x:c r="D21" s="800" t="n">
        <x:v>2</x:v>
      </x:c>
      <x:c r="E21" s="744" t="n">
        <x:f>C21/D21</x:f>
        <x:v>67.2896</x:v>
      </x:c>
      <x:c r="F21" s="664" t="str">
        <x:v>Existing contracted or expected customer orders</x:v>
      </x:c>
      <x:c r="G21" s="538"/>
      <x:c r="H21" s="779" t="str">
        <x:v>New goodwill</x:v>
      </x:c>
      <x:c r="I21" s="801" t="n">
        <x:f>I17</x:f>
        <x:v>8127.828847999998</x:v>
      </x:c>
      <x:c r="J21" s="664" t="str">
        <x:v>Not amortized; tested for impairment</x:v>
      </x:c>
      <x:c r="K21" s="664"/>
      <x:c r="L21" s="664"/>
      <x:c r="M21" s="664"/>
      <x:c r="N21" s="664"/>
      <x:c r="O21" s="664"/>
    </x:row>
    <x:row r="22" ht="24" customHeight="1">
      <x:c r="A22" s="779" t="str">
        <x:v>Inventory step-up</x:v>
      </x:c>
      <x:c r="B22" s="795" t="n">
        <x:v>0.005</x:v>
      </x:c>
      <x:c r="C22" s="744" t="n">
        <x:f>$B$6*B22</x:f>
        <x:v>67.2896</x:v>
      </x:c>
      <x:c r="D22" s="800" t="n">
        <x:v>1</x:v>
      </x:c>
      <x:c r="E22" s="744" t="n">
        <x:f>C22/D22</x:f>
        <x:v>67.2896</x:v>
      </x:c>
      <x:c r="F22" s="664" t="str">
        <x:v>Fair-value uplift recognized through cost of sales</x:v>
      </x:c>
      <x:c r="G22" s="538"/>
      <x:c r="H22" s="779" t="str">
        <x:v>Total identifiable intangibles</x:v>
      </x:c>
      <x:c r="I22" s="801" t="n">
        <x:f>SUM(C18:C21)</x:f>
        <x:v>5114.009599999999</x:v>
      </x:c>
      <x:c r="J22" s="664" t="str">
        <x:v>Finite-lived customer, technology, trade-name, and backlog assets</x:v>
      </x:c>
      <x:c r="K22" s="664"/>
      <x:c r="L22" s="664"/>
      <x:c r="M22" s="664"/>
      <x:c r="N22" s="664"/>
      <x:c r="O22" s="664"/>
    </x:row>
    <x:row r="23" ht="24" customHeight="1">
      <x:c r="A23" s="779" t="str">
        <x:v>PP&amp;E step-up</x:v>
      </x:c>
      <x:c r="B23" s="795" t="n">
        <x:v>0.005</x:v>
      </x:c>
      <x:c r="C23" s="744" t="n">
        <x:f>$B$6*B23</x:f>
        <x:v>67.2896</x:v>
      </x:c>
      <x:c r="D23" s="800" t="n">
        <x:v>10</x:v>
      </x:c>
      <x:c r="E23" s="744" t="n">
        <x:f>C23/D23</x:f>
        <x:v>6.728959999999999</x:v>
      </x:c>
      <x:c r="F23" s="664" t="str">
        <x:v>Fair-value uplift recognized through depreciation</x:v>
      </x:c>
      <x:c r="G23" s="538"/>
      <x:c r="H23" s="779" t="str">
        <x:v>Initial deferred tax liability</x:v>
      </x:c>
      <x:c r="I23" s="801" t="n">
        <x:f>I15</x:f>
        <x:v>1102.203648</x:v>
      </x:c>
      <x:c r="J23" s="664" t="str">
        <x:v>Reverses as the associated book-basis assets are expensed</x:v>
      </x:c>
      <x:c r="K23" s="664"/>
      <x:c r="L23" s="664"/>
      <x:c r="M23" s="664"/>
      <x:c r="N23" s="664"/>
      <x:c r="O23" s="664"/>
    </x:row>
    <x:row r="24" ht="24" customHeight="1">
      <x:c r="A24" s="784" t="str">
        <x:v>Total allocation</x:v>
      </x:c>
      <x:c r="B24" s="798" t="n">
        <x:f>SUM(B18:B23)</x:f>
        <x:v>0.39</x:v>
      </x:c>
      <x:c r="C24" s="799" t="n">
        <x:f>SUM(C18:C23)</x:f>
        <x:v>5248.5887999999995</x:v>
      </x:c>
      <x:c r="D24" s="726"/>
      <x:c r="E24" s="799" t="n">
        <x:f>SUM(E18:E23)</x:f>
        <x:v>596.3140266666666</x:v>
      </x:c>
      <x:c r="F24" s="723" t="str">
        <x:v>Excludes goodwill, which is calculated as the residual</x:v>
      </x:c>
      <x:c r="G24" s="538"/>
      <x:c r="H24" s="779" t="str">
        <x:v>Annualized intangible amortization</x:v>
      </x:c>
      <x:c r="I24" s="801" t="n">
        <x:f>SUM(E18:E21)</x:f>
        <x:v>522.2954666666666</x:v>
      </x:c>
      <x:c r="J24" s="664" t="str">
        <x:v>Full-year run-rate before the closing-date convention</x:v>
      </x:c>
      <x:c r="K24" s="664"/>
      <x:c r="L24" s="664"/>
      <x:c r="M24" s="664"/>
      <x:c r="N24" s="664"/>
      <x:c r="O24" s="664"/>
    </x:row>
    <x:row r="25" ht="24" customHeight="1">
      <x:c r="A25" s="538"/>
      <x:c r="B25" s="538"/>
      <x:c r="C25" s="538"/>
      <x:c r="D25" s="538"/>
      <x:c r="E25" s="538"/>
      <x:c r="F25" s="538"/>
      <x:c r="G25" s="538"/>
      <x:c r="H25" s="779" t="str">
        <x:v>Annualized PP&amp;E depreciation</x:v>
      </x:c>
      <x:c r="I25" s="801" t="n">
        <x:f>E23</x:f>
        <x:v>6.728959999999999</x:v>
      </x:c>
      <x:c r="J25" s="664" t="str">
        <x:v>Full-year run-rate</x:v>
      </x:c>
      <x:c r="K25" s="664"/>
      <x:c r="L25" s="664"/>
      <x:c r="M25" s="664"/>
      <x:c r="N25" s="664"/>
      <x:c r="O25" s="664"/>
    </x:row>
    <x:row r="26" ht="24" customHeight="1">
      <x:c r="A26" s="538"/>
      <x:c r="B26" s="538"/>
      <x:c r="C26" s="538"/>
      <x:c r="D26" s="538"/>
      <x:c r="E26" s="538"/>
      <x:c r="F26" s="538"/>
      <x:c r="G26" s="538"/>
      <x:c r="H26" s="779" t="str">
        <x:v>Annualized inventory step-up expense</x:v>
      </x:c>
      <x:c r="I26" s="801" t="n">
        <x:f>E22</x:f>
        <x:v>67.2896</x:v>
      </x:c>
      <x:c r="J26" s="664" t="str">
        <x:v>Full-year run-rate; realized through cost of sales</x:v>
      </x:c>
      <x:c r="K26" s="664"/>
      <x:c r="L26" s="664"/>
      <x:c r="M26" s="664"/>
      <x:c r="N26" s="664"/>
      <x:c r="O26" s="664"/>
    </x:row>
    <x:row r="27" ht="24" customHeight="1">
      <x:c r="A27" s="538"/>
      <x:c r="B27" s="538"/>
      <x:c r="C27" s="538"/>
      <x:c r="D27" s="538"/>
      <x:c r="E27" s="538"/>
      <x:c r="F27" s="538"/>
      <x:c r="G27" s="538"/>
      <x:c r="H27" s="779" t="str">
        <x:v>First-year after-tax PPA expense</x:v>
      </x:c>
      <x:c r="I27" s="801" t="n">
        <x:f>B43</x:f>
        <x:v>235.5440405333333</x:v>
      </x:c>
      <x:c r="J27" s="664" t="str">
        <x:v>Six-month FY2027E impact after the modeled tax benefit</x:v>
      </x:c>
      <x:c r="K27" s="664"/>
      <x:c r="L27" s="664"/>
      <x:c r="M27" s="664"/>
      <x:c r="N27" s="664"/>
      <x:c r="O27" s="664"/>
    </x:row>
    <x:row r="28" ht="18" customHeight="1">
      <x:c r="A28" s="538"/>
      <x:c r="B28" s="538"/>
      <x:c r="C28" s="538"/>
      <x:c r="D28" s="538"/>
      <x:c r="E28" s="538"/>
      <x:c r="F28" s="538"/>
      <x:c r="G28" s="538"/>
      <x:c r="H28" s="538"/>
      <x:c r="I28" s="538"/>
      <x:c r="J28" s="538"/>
      <x:c r="K28" s="538"/>
      <x:c r="L28" s="538"/>
      <x:c r="M28" s="538"/>
      <x:c r="N28" s="538"/>
      <x:c r="O28" s="538"/>
    </x:row>
    <x:row r="29" ht="18" customHeight="1">
      <x:c r="A29" s="777" t="str">
        <x:v>INCREMENTAL NON-CASH EXPENSE SCHEDULE</x:v>
      </x:c>
      <x:c r="B29" s="777"/>
      <x:c r="C29" s="777"/>
      <x:c r="D29" s="777"/>
      <x:c r="E29" s="777"/>
      <x:c r="F29" s="777"/>
      <x:c r="G29" s="777"/>
      <x:c r="H29" s="777"/>
      <x:c r="I29" s="777"/>
      <x:c r="J29" s="777"/>
      <x:c r="K29" s="777"/>
      <x:c r="L29" s="777"/>
      <x:c r="M29" s="777"/>
      <x:c r="N29" s="777"/>
      <x:c r="O29" s="777"/>
    </x:row>
    <x:row r="30" ht="18" customHeight="1">
      <x:c r="A30" s="779" t="str">
        <x:v>Fiscal year ended</x:v>
      </x:c>
      <x:c r="B30" s="803" t="n">
        <x:f>DATE(YEAR($B$14),9,30)</x:f>
        <x:v>46660</x:v>
      </x:c>
      <x:c r="C30" s="803" t="n">
        <x:f>DATE(YEAR(B30)+1,9,30)</x:f>
        <x:v>47026</x:v>
      </x:c>
      <x:c r="D30" s="803" t="n">
        <x:f>DATE(YEAR(C30)+1,9,30)</x:f>
        <x:v>47391</x:v>
      </x:c>
      <x:c r="E30" s="803" t="n">
        <x:f>DATE(YEAR(D30)+1,9,30)</x:f>
        <x:v>47756</x:v>
      </x:c>
      <x:c r="F30" s="803" t="n">
        <x:f>DATE(YEAR(E30)+1,9,30)</x:f>
        <x:v>48121</x:v>
      </x:c>
      <x:c r="G30" s="664" t="str">
        <x:v>Calculation</x:v>
      </x:c>
      <x:c r="H30" s="538"/>
      <x:c r="I30" s="538"/>
      <x:c r="J30" s="538"/>
      <x:c r="K30" s="538"/>
      <x:c r="L30" s="538"/>
      <x:c r="M30" s="538"/>
      <x:c r="N30" s="538"/>
      <x:c r="O30" s="538"/>
    </x:row>
    <x:row r="31" ht="18" customHeight="1">
      <x:c r="A31" s="779" t="str">
        <x:v>Months owned</x:v>
      </x:c>
      <x:c r="B31" s="804" t="n">
        <x:f>$B$13</x:f>
        <x:v>6</x:v>
      </x:c>
      <x:c r="C31" s="804" t="n">
        <x:v>12</x:v>
      </x:c>
      <x:c r="D31" s="804" t="n">
        <x:v>12</x:v>
      </x:c>
      <x:c r="E31" s="804" t="n">
        <x:v>12</x:v>
      </x:c>
      <x:c r="F31" s="804" t="n">
        <x:v>12</x:v>
      </x:c>
      <x:c r="G31" s="664" t="str">
        <x:v>Close-date convention</x:v>
      </x:c>
      <x:c r="H31" s="538"/>
      <x:c r="I31" s="538"/>
      <x:c r="J31" s="538"/>
      <x:c r="K31" s="538"/>
      <x:c r="L31" s="538"/>
      <x:c r="M31" s="538"/>
      <x:c r="N31" s="538"/>
      <x:c r="O31" s="538"/>
    </x:row>
    <x:row r="32" ht="18" customHeight="1">
      <x:c r="A32" s="779" t="str">
        <x:v>Cumulative months owned</x:v>
      </x:c>
      <x:c r="B32" s="804" t="n">
        <x:f>B31</x:f>
        <x:v>6</x:v>
      </x:c>
      <x:c r="C32" s="804" t="n">
        <x:f>B32+C31</x:f>
        <x:v>18</x:v>
      </x:c>
      <x:c r="D32" s="804" t="n">
        <x:f>C32+D31</x:f>
        <x:v>30</x:v>
      </x:c>
      <x:c r="E32" s="804" t="n">
        <x:f>D32+E31</x:f>
        <x:v>42</x:v>
      </x:c>
      <x:c r="F32" s="804" t="n">
        <x:f>E32+F31</x:f>
        <x:v>54</x:v>
      </x:c>
      <x:c r="G32" s="664" t="str">
        <x:v>Used to stop expense at end of useful life</x:v>
      </x:c>
      <x:c r="H32" s="538"/>
      <x:c r="I32" s="538"/>
      <x:c r="J32" s="538"/>
      <x:c r="K32" s="538"/>
      <x:c r="L32" s="538"/>
      <x:c r="M32" s="538"/>
      <x:c r="N32" s="538"/>
      <x:c r="O32" s="538"/>
    </x:row>
    <x:row r="33" ht="18" customHeight="1">
      <x:c r="A33" s="779"/>
      <x:c r="B33" s="436"/>
      <x:c r="C33" s="436"/>
      <x:c r="D33" s="436"/>
      <x:c r="E33" s="436"/>
      <x:c r="F33" s="436"/>
      <x:c r="G33" s="664"/>
      <x:c r="H33" s="538"/>
      <x:c r="I33" s="538"/>
      <x:c r="J33" s="538"/>
      <x:c r="K33" s="538"/>
      <x:c r="L33" s="538"/>
      <x:c r="M33" s="538"/>
      <x:c r="N33" s="538"/>
      <x:c r="O33" s="538"/>
    </x:row>
    <x:row r="34" ht="18" customHeight="1">
      <x:c r="A34" s="779" t="str">
        <x:v>Customer relationship amortization</x:v>
      </x:c>
      <x:c r="B34" s="744" t="n">
        <x:f>MIN(B$31,MAX(0,$D18*$B$12-(B$32-B$31)))*$C18/($D18*$B$12)</x:f>
        <x:v>98.69141333333333</x:v>
      </x:c>
      <x:c r="C34" s="744" t="n">
        <x:f>MIN(C$31,MAX(0,$D18*$B$12-(C$32-C$31)))*$C18/($D18*$B$12)</x:f>
        <x:v>197.38282666666666</x:v>
      </x:c>
      <x:c r="D34" s="744" t="n">
        <x:f>MIN(D$31,MAX(0,$D18*$B$12-(D$32-D$31)))*$C18/($D18*$B$12)</x:f>
        <x:v>197.38282666666666</x:v>
      </x:c>
      <x:c r="E34" s="744" t="n">
        <x:f>MIN(E$31,MAX(0,$D18*$B$12-(E$32-E$31)))*$C18/($D18*$B$12)</x:f>
        <x:v>197.38282666666666</x:v>
      </x:c>
      <x:c r="F34" s="744" t="n">
        <x:f>MIN(F$31,MAX(0,$D18*$B$12-(F$32-F$31)))*$C18/($D18*$B$12)</x:f>
        <x:v>197.38282666666666</x:v>
      </x:c>
      <x:c r="G34" s="664" t="str">
        <x:v>Straight-line over 15 years</x:v>
      </x:c>
      <x:c r="H34" s="538"/>
      <x:c r="I34" s="538"/>
      <x:c r="J34" s="538"/>
      <x:c r="K34" s="538"/>
      <x:c r="L34" s="538"/>
      <x:c r="M34" s="538"/>
      <x:c r="N34" s="538"/>
      <x:c r="O34" s="538"/>
    </x:row>
    <x:row r="35" ht="18" customHeight="1">
      <x:c r="A35" s="779" t="str">
        <x:v>Developed technology amortization</x:v>
      </x:c>
      <x:c r="B35" s="744" t="n">
        <x:f>MIN(B$31,MAX(0,$D19*$B$12-(B$32-B$31)))*$C19/($D19*$B$12)</x:f>
        <x:v>115.35359999999999</x:v>
      </x:c>
      <x:c r="C35" s="744" t="n">
        <x:f>MIN(C$31,MAX(0,$D19*$B$12-(C$32-C$31)))*$C19/($D19*$B$12)</x:f>
        <x:v>230.70719999999997</x:v>
      </x:c>
      <x:c r="D35" s="744" t="n">
        <x:f>MIN(D$31,MAX(0,$D19*$B$12-(D$32-D$31)))*$C19/($D19*$B$12)</x:f>
        <x:v>230.70719999999997</x:v>
      </x:c>
      <x:c r="E35" s="744" t="n">
        <x:f>MIN(E$31,MAX(0,$D19*$B$12-(E$32-E$31)))*$C19/($D19*$B$12)</x:f>
        <x:v>230.70719999999997</x:v>
      </x:c>
      <x:c r="F35" s="744" t="n">
        <x:f>MIN(F$31,MAX(0,$D19*$B$12-(F$32-F$31)))*$C19/($D19*$B$12)</x:f>
        <x:v>230.70719999999997</x:v>
      </x:c>
      <x:c r="G35" s="664" t="str">
        <x:v>Straight-line over 7 years</x:v>
      </x:c>
      <x:c r="H35" s="538"/>
      <x:c r="I35" s="538"/>
      <x:c r="J35" s="538"/>
      <x:c r="K35" s="538"/>
      <x:c r="L35" s="538"/>
      <x:c r="M35" s="538"/>
      <x:c r="N35" s="538"/>
      <x:c r="O35" s="538"/>
    </x:row>
    <x:row r="36" ht="18" customHeight="1">
      <x:c r="A36" s="779" t="str">
        <x:v>Trade-name amortization</x:v>
      </x:c>
      <x:c r="B36" s="744" t="n">
        <x:f>MIN(B$31,MAX(0,$D20*$B$12-(B$32-B$31)))*$C20/($D20*$B$12)</x:f>
        <x:v>13.457919999999998</x:v>
      </x:c>
      <x:c r="C36" s="744" t="n">
        <x:f>MIN(C$31,MAX(0,$D20*$B$12-(C$32-C$31)))*$C20/($D20*$B$12)</x:f>
        <x:v>26.915839999999996</x:v>
      </x:c>
      <x:c r="D36" s="744" t="n">
        <x:f>MIN(D$31,MAX(0,$D20*$B$12-(D$32-D$31)))*$C20/($D20*$B$12)</x:f>
        <x:v>26.915839999999996</x:v>
      </x:c>
      <x:c r="E36" s="744" t="n">
        <x:f>MIN(E$31,MAX(0,$D20*$B$12-(E$32-E$31)))*$C20/($D20*$B$12)</x:f>
        <x:v>26.915839999999996</x:v>
      </x:c>
      <x:c r="F36" s="744" t="n">
        <x:f>MIN(F$31,MAX(0,$D20*$B$12-(F$32-F$31)))*$C20/($D20*$B$12)</x:f>
        <x:v>26.915839999999996</x:v>
      </x:c>
      <x:c r="G36" s="664" t="str">
        <x:v>Straight-line over 15 years</x:v>
      </x:c>
      <x:c r="H36" s="538"/>
      <x:c r="I36" s="538"/>
      <x:c r="J36" s="538"/>
      <x:c r="K36" s="538"/>
      <x:c r="L36" s="538"/>
      <x:c r="M36" s="538"/>
      <x:c r="N36" s="538"/>
      <x:c r="O36" s="538"/>
    </x:row>
    <x:row r="37" ht="18" customHeight="1">
      <x:c r="A37" s="779" t="str">
        <x:v>Backlog amortization</x:v>
      </x:c>
      <x:c r="B37" s="744" t="n">
        <x:f>MIN(B$31,MAX(0,$D21*$B$12-(B$32-B$31)))*$C21/($D21*$B$12)</x:f>
        <x:v>33.6448</x:v>
      </x:c>
      <x:c r="C37" s="744" t="n">
        <x:f>MIN(C$31,MAX(0,$D21*$B$12-(C$32-C$31)))*$C21/($D21*$B$12)</x:f>
        <x:v>67.2896</x:v>
      </x:c>
      <x:c r="D37" s="744" t="n">
        <x:f>MIN(D$31,MAX(0,$D21*$B$12-(D$32-D$31)))*$C21/($D21*$B$12)</x:f>
        <x:v>33.6448</x:v>
      </x:c>
      <x:c r="E37" s="744" t="n">
        <x:f>MIN(E$31,MAX(0,$D21*$B$12-(E$32-E$31)))*$C21/($D21*$B$12)</x:f>
        <x:v>0</x:v>
      </x:c>
      <x:c r="F37" s="744" t="n">
        <x:f>MIN(F$31,MAX(0,$D21*$B$12-(F$32-F$31)))*$C21/($D21*$B$12)</x:f>
        <x:v>0</x:v>
      </x:c>
      <x:c r="G37" s="664" t="str">
        <x:v>Straight-line over 2 years</x:v>
      </x:c>
      <x:c r="H37" s="538"/>
      <x:c r="I37" s="538"/>
      <x:c r="J37" s="538"/>
      <x:c r="K37" s="538"/>
      <x:c r="L37" s="538"/>
      <x:c r="M37" s="538"/>
      <x:c r="N37" s="538"/>
      <x:c r="O37" s="538"/>
    </x:row>
    <x:row r="38" ht="18" customHeight="1">
      <x:c r="A38" s="779" t="str">
        <x:v>Inventory step-up expense</x:v>
      </x:c>
      <x:c r="B38" s="744" t="n">
        <x:f>MIN(B$31,MAX(0,$D22*$B$12-(B$32-B$31)))*$C22/($D22*$B$12)</x:f>
        <x:v>33.6448</x:v>
      </x:c>
      <x:c r="C38" s="744" t="n">
        <x:f>MIN(C$31,MAX(0,$D22*$B$12-(C$32-C$31)))*$C22/($D22*$B$12)</x:f>
        <x:v>33.6448</x:v>
      </x:c>
      <x:c r="D38" s="744" t="n">
        <x:f>MIN(D$31,MAX(0,$D22*$B$12-(D$32-D$31)))*$C22/($D22*$B$12)</x:f>
        <x:v>0</x:v>
      </x:c>
      <x:c r="E38" s="744" t="n">
        <x:f>MIN(E$31,MAX(0,$D22*$B$12-(E$32-E$31)))*$C22/($D22*$B$12)</x:f>
        <x:v>0</x:v>
      </x:c>
      <x:c r="F38" s="744" t="n">
        <x:f>MIN(F$31,MAX(0,$D22*$B$12-(F$32-F$31)))*$C22/($D22*$B$12)</x:f>
        <x:v>0</x:v>
      </x:c>
      <x:c r="G38" s="664" t="str">
        <x:v>Recognized over 1 year</x:v>
      </x:c>
      <x:c r="H38" s="538"/>
      <x:c r="I38" s="538"/>
      <x:c r="J38" s="538"/>
      <x:c r="K38" s="538"/>
      <x:c r="L38" s="538"/>
      <x:c r="M38" s="538"/>
      <x:c r="N38" s="538"/>
      <x:c r="O38" s="538"/>
    </x:row>
    <x:row r="39" ht="18" customHeight="1">
      <x:c r="A39" s="779" t="str">
        <x:v>Incremental PP&amp;E depreciation</x:v>
      </x:c>
      <x:c r="B39" s="744" t="n">
        <x:f>MIN(B$31,MAX(0,$D23*$B$12-(B$32-B$31)))*$C23/($D23*$B$12)</x:f>
        <x:v>3.3644799999999995</x:v>
      </x:c>
      <x:c r="C39" s="744" t="n">
        <x:f>MIN(C$31,MAX(0,$D23*$B$12-(C$32-C$31)))*$C23/($D23*$B$12)</x:f>
        <x:v>6.728959999999999</x:v>
      </x:c>
      <x:c r="D39" s="744" t="n">
        <x:f>MIN(D$31,MAX(0,$D23*$B$12-(D$32-D$31)))*$C23/($D23*$B$12)</x:f>
        <x:v>6.728959999999999</x:v>
      </x:c>
      <x:c r="E39" s="744" t="n">
        <x:f>MIN(E$31,MAX(0,$D23*$B$12-(E$32-E$31)))*$C23/($D23*$B$12)</x:f>
        <x:v>6.728959999999999</x:v>
      </x:c>
      <x:c r="F39" s="744" t="n">
        <x:f>MIN(F$31,MAX(0,$D23*$B$12-(F$32-F$31)))*$C23/($D23*$B$12)</x:f>
        <x:v>6.728959999999999</x:v>
      </x:c>
      <x:c r="G39" s="664" t="str">
        <x:v>Straight-line over 10 years</x:v>
      </x:c>
      <x:c r="H39" s="538"/>
      <x:c r="I39" s="538"/>
      <x:c r="J39" s="538"/>
      <x:c r="K39" s="538"/>
      <x:c r="L39" s="538"/>
      <x:c r="M39" s="538"/>
      <x:c r="N39" s="538"/>
      <x:c r="O39" s="538"/>
    </x:row>
    <x:row r="40" ht="18" customHeight="1">
      <x:c r="A40" s="779"/>
      <x:c r="B40" s="744"/>
      <x:c r="C40" s="744"/>
      <x:c r="D40" s="744"/>
      <x:c r="E40" s="744"/>
      <x:c r="F40" s="744"/>
      <x:c r="G40" s="664"/>
      <x:c r="H40" s="538"/>
      <x:c r="I40" s="538"/>
      <x:c r="J40" s="538"/>
      <x:c r="K40" s="538"/>
      <x:c r="L40" s="538"/>
      <x:c r="M40" s="538"/>
      <x:c r="N40" s="538"/>
      <x:c r="O40" s="538"/>
    </x:row>
    <x:row r="41" ht="18" customHeight="1">
      <x:c r="A41" s="779" t="str">
        <x:v>Total incremental PPA expense</x:v>
      </x:c>
      <x:c r="B41" s="744" t="n">
        <x:f>SUM(B34:B39)</x:f>
        <x:v>298.1570133333333</x:v>
      </x:c>
      <x:c r="C41" s="744" t="n">
        <x:f>SUM(C34:C39)</x:f>
        <x:v>562.6692266666666</x:v>
      </x:c>
      <x:c r="D41" s="744" t="n">
        <x:f>SUM(D34:D39)</x:f>
        <x:v>495.3796266666666</x:v>
      </x:c>
      <x:c r="E41" s="744" t="n">
        <x:f>SUM(E34:E39)</x:f>
        <x:v>461.7348266666666</x:v>
      </x:c>
      <x:c r="F41" s="744" t="n">
        <x:f>SUM(F34:F39)</x:f>
        <x:v>461.7348266666666</x:v>
      </x:c>
      <x:c r="G41" s="664"/>
      <x:c r="H41" s="538"/>
      <x:c r="I41" s="538"/>
      <x:c r="J41" s="538"/>
      <x:c r="K41" s="538"/>
      <x:c r="L41" s="538"/>
      <x:c r="M41" s="538"/>
      <x:c r="N41" s="538"/>
      <x:c r="O41" s="538"/>
    </x:row>
    <x:row r="42" ht="18" customHeight="1">
      <x:c r="A42" s="779" t="str">
        <x:v>Deferred tax benefit</x:v>
      </x:c>
      <x:c r="B42" s="744" t="n">
        <x:f>B41*$B$11</x:f>
        <x:v>62.61297279999999</x:v>
      </x:c>
      <x:c r="C42" s="744" t="n">
        <x:f>C41*$B$11</x:f>
        <x:v>118.1605376</x:v>
      </x:c>
      <x:c r="D42" s="744" t="n">
        <x:f>D41*$B$11</x:f>
        <x:v>104.02972159999997</x:v>
      </x:c>
      <x:c r="E42" s="744" t="n">
        <x:f>E41*$B$11</x:f>
        <x:v>96.96431359999998</x:v>
      </x:c>
      <x:c r="F42" s="744" t="n">
        <x:f>F41*$B$11</x:f>
        <x:v>96.96431359999998</x:v>
      </x:c>
      <x:c r="G42" s="664"/>
      <x:c r="H42" s="538"/>
      <x:c r="I42" s="538"/>
      <x:c r="J42" s="538"/>
      <x:c r="K42" s="538"/>
      <x:c r="L42" s="538"/>
      <x:c r="M42" s="538"/>
      <x:c r="N42" s="538"/>
      <x:c r="O42" s="538"/>
    </x:row>
    <x:row r="43" ht="18" customHeight="1">
      <x:c r="A43" s="784" t="str">
        <x:v>After-tax PPA expense</x:v>
      </x:c>
      <x:c r="B43" s="805" t="n">
        <x:f>B41-B42</x:f>
        <x:v>235.5440405333333</x:v>
      </x:c>
      <x:c r="C43" s="805" t="n">
        <x:f>C41-C42</x:f>
        <x:v>444.50868906666665</x:v>
      </x:c>
      <x:c r="D43" s="805" t="n">
        <x:f>D41-D42</x:f>
        <x:v>391.3499050666666</x:v>
      </x:c>
      <x:c r="E43" s="805" t="n">
        <x:f>E41-E42</x:f>
        <x:v>364.77051306666664</x:v>
      </x:c>
      <x:c r="F43" s="805" t="n">
        <x:f>F41-F42</x:f>
        <x:v>364.77051306666664</x:v>
      </x:c>
      <x:c r="G43" s="664"/>
      <x:c r="H43" s="538"/>
      <x:c r="I43" s="538"/>
      <x:c r="J43" s="538"/>
      <x:c r="K43" s="538"/>
      <x:c r="L43" s="538"/>
      <x:c r="M43" s="538"/>
      <x:c r="N43" s="538"/>
      <x:c r="O43" s="538"/>
    </x:row>
    <x:row r="44" ht="18" customHeight="1">
      <x:c r="A44" s="538"/>
      <x:c r="B44" s="746"/>
      <x:c r="C44" s="746"/>
      <x:c r="D44" s="746"/>
      <x:c r="E44" s="746"/>
      <x:c r="F44" s="746"/>
      <x:c r="G44" s="538"/>
      <x:c r="H44" s="538"/>
      <x:c r="I44" s="538"/>
      <x:c r="J44" s="538"/>
      <x:c r="K44" s="538"/>
      <x:c r="L44" s="538"/>
      <x:c r="M44" s="538"/>
      <x:c r="N44" s="538"/>
      <x:c r="O44" s="538"/>
    </x:row>
    <x:row r="45" ht="18" customHeight="1">
      <x:c r="A45" s="777" t="str">
        <x:v>DEFERRED TAX LIABILITY ROLL-FORWARD</x:v>
      </x:c>
      <x:c r="B45" s="806"/>
      <x:c r="C45" s="806"/>
      <x:c r="D45" s="806"/>
      <x:c r="E45" s="806"/>
      <x:c r="F45" s="806"/>
      <x:c r="G45" s="777"/>
      <x:c r="H45" s="777" t="str">
        <x:v>RECONCILIATION CHECKS</x:v>
      </x:c>
      <x:c r="I45" s="777"/>
      <x:c r="J45" s="777"/>
      <x:c r="K45" s="777"/>
      <x:c r="L45" s="777"/>
      <x:c r="M45" s="777"/>
      <x:c r="N45" s="777"/>
      <x:c r="O45" s="777"/>
    </x:row>
    <x:row r="46" ht="18" customHeight="1">
      <x:c r="A46" s="779" t="str">
        <x:v>Beginning DTL</x:v>
      </x:c>
      <x:c r="B46" s="744" t="n">
        <x:f>$I$15</x:f>
        <x:v>1102.203648</x:v>
      </x:c>
      <x:c r="C46" s="744" t="n">
        <x:f>B48</x:f>
        <x:v>1039.5906751999999</x:v>
      </x:c>
      <x:c r="D46" s="744" t="n">
        <x:f>C48</x:f>
        <x:v>921.4301375999999</x:v>
      </x:c>
      <x:c r="E46" s="744" t="n">
        <x:f>D48</x:f>
        <x:v>817.4004159999998</x:v>
      </x:c>
      <x:c r="F46" s="744" t="n">
        <x:f>E48</x:f>
        <x:v>720.4361023999999</x:v>
      </x:c>
      <x:c r="G46" s="538"/>
      <x:c r="H46" s="779" t="str">
        <x:v>Purchase consideration bridge</x:v>
      </x:c>
      <x:c r="I46" s="807" t="n">
        <x:f>I6-I16-I17</x:f>
        <x:v>0</x:v>
      </x:c>
      <x:c r="J46" s="664" t="str">
        <x:v>Must equal zero</x:v>
      </x:c>
      <x:c r="K46" s="664"/>
      <x:c r="L46" s="664"/>
      <x:c r="M46" s="664"/>
      <x:c r="N46" s="664"/>
      <x:c r="O46" s="664"/>
    </x:row>
    <x:row r="47" ht="18" customHeight="1">
      <x:c r="A47" s="779" t="str">
        <x:v>Less: DTL reversal</x:v>
      </x:c>
      <x:c r="B47" s="744" t="n">
        <x:f>B42</x:f>
        <x:v>62.61297279999999</x:v>
      </x:c>
      <x:c r="C47" s="744" t="n">
        <x:f>C42</x:f>
        <x:v>118.1605376</x:v>
      </x:c>
      <x:c r="D47" s="744" t="n">
        <x:f>D42</x:f>
        <x:v>104.02972159999997</x:v>
      </x:c>
      <x:c r="E47" s="744" t="n">
        <x:f>E42</x:f>
        <x:v>96.96431359999998</x:v>
      </x:c>
      <x:c r="F47" s="744" t="n">
        <x:f>F42</x:f>
        <x:v>96.96431359999998</x:v>
      </x:c>
      <x:c r="G47" s="538"/>
      <x:c r="H47" s="779" t="str">
        <x:v>Allocation percentage total</x:v>
      </x:c>
      <x:c r="I47" s="808" t="n">
        <x:f>B24</x:f>
        <x:v>0.39</x:v>
      </x:c>
      <x:c r="J47" s="664" t="str">
        <x:v>39.0% of consideration assigned to identifiable asset write-ups</x:v>
      </x:c>
      <x:c r="K47" s="664"/>
      <x:c r="L47" s="664"/>
      <x:c r="M47" s="664"/>
      <x:c r="N47" s="664"/>
      <x:c r="O47" s="664"/>
    </x:row>
    <x:row r="48" ht="18" customHeight="1">
      <x:c r="A48" s="779" t="str">
        <x:v>Ending DTL</x:v>
      </x:c>
      <x:c r="B48" s="807" t="n">
        <x:f>MAX(0,B46-B47)</x:f>
        <x:v>1039.5906751999999</x:v>
      </x:c>
      <x:c r="C48" s="807" t="n">
        <x:f>MAX(0,C46-C47)</x:f>
        <x:v>921.4301375999999</x:v>
      </x:c>
      <x:c r="D48" s="807" t="n">
        <x:f>MAX(0,D46-D47)</x:f>
        <x:v>817.4004159999998</x:v>
      </x:c>
      <x:c r="E48" s="807" t="n">
        <x:f>MAX(0,E46-E47)</x:f>
        <x:v>720.4361023999999</x:v>
      </x:c>
      <x:c r="F48" s="807" t="n">
        <x:f>MAX(0,F46-F47)</x:f>
        <x:v>623.4717887999999</x:v>
      </x:c>
      <x:c r="G48" s="538"/>
      <x:c r="H48" s="779" t="str">
        <x:v>Goodwill positive</x:v>
      </x:c>
      <x:c r="I48" s="807" t="n">
        <x:f>I17</x:f>
        <x:v>8127.828847999998</x:v>
      </x:c>
      <x:c r="J48" s="664" t="str">
        <x:v>Residual goodwill must remain greater than zero</x:v>
      </x:c>
      <x:c r="K48" s="664"/>
      <x:c r="L48" s="664"/>
      <x:c r="M48" s="664"/>
      <x:c r="N48" s="664"/>
      <x:c r="O48" s="664"/>
    </x:row>
    <x:row r="49" ht="18" customHeight="1">
      <x:c r="A49" s="538"/>
      <x:c r="B49" s="538"/>
      <x:c r="C49" s="538"/>
      <x:c r="D49" s="538"/>
      <x:c r="E49" s="538"/>
      <x:c r="F49" s="538"/>
      <x:c r="G49" s="538"/>
      <x:c r="H49" s="779" t="str">
        <x:v>First-year expense tie-out</x:v>
      </x:c>
      <x:c r="I49" s="807" t="n">
        <x:f>I27-B43</x:f>
        <x:v>0</x:v>
      </x:c>
      <x:c r="J49" s="664" t="str">
        <x:v>Key output must equal the detailed schedule</x:v>
      </x:c>
      <x:c r="K49" s="664"/>
      <x:c r="L49" s="664"/>
      <x:c r="M49" s="664"/>
      <x:c r="N49" s="664"/>
      <x:c r="O49" s="664"/>
    </x:row>
    <x:row r="50" ht="18" customHeight="1">
      <x:c r="A50" s="538"/>
      <x:c r="B50" s="538"/>
      <x:c r="C50" s="538"/>
      <x:c r="D50" s="538"/>
      <x:c r="E50" s="538"/>
      <x:c r="F50" s="538"/>
      <x:c r="G50" s="538"/>
      <x:c r="H50" s="538"/>
      <x:c r="I50" s="538"/>
      <x:c r="J50" s="538"/>
      <x:c r="K50" s="538"/>
      <x:c r="L50" s="538"/>
      <x:c r="M50" s="538"/>
      <x:c r="N50" s="538"/>
      <x:c r="O50" s="538"/>
    </x:row>
    <x:row r="51" ht="18" customHeight="1">
      <x:c r="A51" s="777" t="str">
        <x:v>ANALYST INTERPRETATION</x:v>
      </x:c>
      <x:c r="B51" s="777"/>
      <x:c r="C51" s="777"/>
      <x:c r="D51" s="777"/>
      <x:c r="E51" s="777"/>
      <x:c r="F51" s="777"/>
      <x:c r="G51" s="777"/>
      <x:c r="H51" s="777"/>
      <x:c r="I51" s="777"/>
      <x:c r="J51" s="777"/>
      <x:c r="K51" s="777"/>
      <x:c r="L51" s="777"/>
      <x:c r="M51" s="777"/>
      <x:c r="N51" s="777"/>
      <x:c r="O51" s="777"/>
    </x:row>
    <x:row r="52" ht="30" customHeight="1">
      <x:c r="A52" s="792" t="str">
        <x:v>The preliminary allocation creates approximately $8.2 billion of goodwill because the $80 offer materially exceeds Cognex’s tangible book value and the identifiable technology, customer, brand, backlog, inventory, and PP&amp;E values assigned in this merger model.</x:v>
      </x:c>
      <x:c r="B52" s="792"/>
      <x:c r="C52" s="792"/>
      <x:c r="D52" s="792"/>
      <x:c r="E52" s="792"/>
      <x:c r="F52" s="792"/>
      <x:c r="G52" s="792"/>
      <x:c r="H52" s="792"/>
      <x:c r="I52" s="792"/>
      <x:c r="J52" s="792"/>
      <x:c r="K52" s="792"/>
      <x:c r="L52" s="792"/>
      <x:c r="M52" s="792"/>
      <x:c r="N52" s="792"/>
      <x:c r="O52" s="792"/>
    </x:row>
    <x:row r="53" ht="30" customHeight="1">
      <x:c r="A53" s="792" t="str">
        <x:v>Goodwill is not amortized, but the acquired intangible and stepped-up tangible assets create material non-cash expense. The first-year schedule reflects six months of ownership based on a March 31 close and Rockwell’s September fiscal year-end.</x:v>
      </x:c>
      <x:c r="B53" s="792"/>
      <x:c r="C53" s="792"/>
      <x:c r="D53" s="792"/>
      <x:c r="E53" s="792"/>
      <x:c r="F53" s="792"/>
      <x:c r="G53" s="792"/>
      <x:c r="H53" s="792"/>
      <x:c r="I53" s="792"/>
      <x:c r="J53" s="792"/>
      <x:c r="K53" s="792"/>
      <x:c r="L53" s="792"/>
      <x:c r="M53" s="792"/>
      <x:c r="N53" s="792"/>
      <x:c r="O53" s="792"/>
    </x:row>
    <x:row r="54" ht="30" customHeight="1">
      <x:c r="A54" s="793" t="str">
        <x:v>This is an illustrative banking-model allocation, not a valuation report. An actual transaction would require specialist appraisals, legal-entity tax analysis, and management estimates before the opening balance sheet could be finalized.</x:v>
      </x:c>
      <x:c r="B54" s="793"/>
      <x:c r="C54" s="793"/>
      <x:c r="D54" s="793"/>
      <x:c r="E54" s="793"/>
      <x:c r="F54" s="793"/>
      <x:c r="G54" s="793"/>
      <x:c r="H54" s="793"/>
      <x:c r="I54" s="793"/>
      <x:c r="J54" s="793"/>
      <x:c r="K54" s="793"/>
      <x:c r="L54" s="793"/>
      <x:c r="M54" s="793"/>
      <x:c r="N54" s="793"/>
      <x:c r="O54" s="793"/>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A16:F16"/>
    <x:mergeCell ref="H5:O5"/>
    <x:mergeCell ref="J6:O6"/>
    <x:mergeCell ref="J7:O7"/>
    <x:mergeCell ref="J8:O8"/>
    <x:mergeCell ref="J9:O9"/>
    <x:mergeCell ref="J10:O10"/>
    <x:mergeCell ref="J11:O11"/>
    <x:mergeCell ref="J12:O12"/>
    <x:mergeCell ref="J13:O13"/>
    <x:mergeCell ref="J14:O14"/>
    <x:mergeCell ref="J15:O15"/>
    <x:mergeCell ref="J16:O16"/>
    <x:mergeCell ref="J17:O17"/>
    <x:mergeCell ref="J18:O18"/>
    <x:mergeCell ref="H20:O20"/>
    <x:mergeCell ref="J21:O21"/>
    <x:mergeCell ref="J22:O22"/>
    <x:mergeCell ref="J23:O23"/>
    <x:mergeCell ref="J24:O24"/>
    <x:mergeCell ref="J25:O25"/>
    <x:mergeCell ref="J26:O26"/>
    <x:mergeCell ref="J27:O27"/>
    <x:mergeCell ref="A29:O29"/>
    <x:mergeCell ref="A45:G45"/>
    <x:mergeCell ref="H45:O45"/>
    <x:mergeCell ref="J46:O46"/>
    <x:mergeCell ref="J47:O47"/>
    <x:mergeCell ref="J48:O48"/>
    <x:mergeCell ref="J49:O49"/>
    <x:mergeCell ref="A51:O51"/>
    <x:mergeCell ref="A52:O52"/>
    <x:mergeCell ref="A53:O53"/>
    <x:mergeCell ref="A54:O5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Accretion Dilution</x:v>
      </x:c>
      <x:c r="B1" s="3"/>
      <x:c r="C1" s="3"/>
      <x:c r="D1" s="3"/>
      <x:c r="E1" s="3"/>
      <x:c r="F1" s="3"/>
      <x:c r="G1" s="3"/>
      <x:c r="H1" s="3"/>
    </x:row>
    <x:row r="2" ht="30" customHeight="1">
      <x:c r="A2" s="7" t="str">
        <x:v>Pro forma earnings, shares, EPS, and accretion/dilution</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Synergies</x:v>
      </x:c>
      <x:c r="B1" s="3"/>
      <x:c r="C1" s="3"/>
      <x:c r="D1" s="3"/>
      <x:c r="E1" s="3"/>
      <x:c r="F1" s="3"/>
      <x:c r="G1" s="3"/>
      <x:c r="H1" s="3"/>
    </x:row>
    <x:row r="2" ht="30" customHeight="1">
      <x:c r="A2" s="7" t="str">
        <x:v>Cost and revenue synergies, timing, and implementation costs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Sensitivities</x:v>
      </x:c>
      <x:c r="B1" s="3"/>
      <x:c r="C1" s="3"/>
      <x:c r="D1" s="3"/>
      <x:c r="E1" s="3"/>
      <x:c r="F1" s="3"/>
      <x:c r="G1" s="3"/>
      <x:c r="H1" s="3"/>
    </x:row>
    <x:row r="2" ht="30" customHeight="1">
      <x:c r="A2" s="7" t="str">
        <x:v>Valuation and transaction sensitivity analyses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1"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812" t="str">
        <x:v>PURCHASE ACCOUNTING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32</x:v>
      </x:c>
      <x:c r="C6" s="135" t="n">
        <x:v>32</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row r="32">
      <x:c r="A32" s="484" t="str">
        <x:v>Sources and uses balance</x:v>
      </x:c>
      <x:c r="B32" s="484" t="n">
        <x:f>'Sources &amp; Uses'!I28</x:f>
        <x:v>0</x:v>
      </x:c>
      <x:c r="C32" s="484" t="n">
        <x:v>0</x:v>
      </x:c>
      <x:c r="D32" s="484" t="n">
        <x:f>B32-C32</x:f>
        <x:v>0</x:v>
      </x:c>
      <x:c r="E32" s="484" t="n">
        <x:v>0.01</x:v>
      </x:c>
      <x:c r="F32" s="769" t="str">
        <x:f>IF(ABS(D32)&lt;=E32,"OK","CHECK")</x:f>
        <x:v>OK</x:v>
      </x:c>
      <x:c r="G32" s="484" t="str">
        <x:v>Sources &amp; Uses row 28</x:v>
      </x:c>
    </x:row>
    <x:row r="33">
      <x:c r="A33" s="484" t="str">
        <x:v>Consideration mix totals 100%</x:v>
      </x:c>
      <x:c r="B33" s="484" t="n">
        <x:f>'Sources &amp; Uses'!B10+'Sources &amp; Uses'!B11</x:f>
        <x:v>1</x:v>
      </x:c>
      <x:c r="C33" s="484" t="n">
        <x:v>1</x:v>
      </x:c>
      <x:c r="D33" s="484" t="n">
        <x:f>B33-C33</x:f>
        <x:v>0</x:v>
      </x:c>
      <x:c r="E33" s="484" t="n">
        <x:v>0.000001</x:v>
      </x:c>
      <x:c r="F33" s="769" t="str">
        <x:f>IF(ABS(D33)&lt;=E33,"OK","CHECK")</x:f>
        <x:v>OK</x:v>
      </x:c>
      <x:c r="G33" s="484" t="str">
        <x:v>Sources &amp; Uses rows 10-11</x:v>
      </x:c>
    </x:row>
    <x:row r="34">
      <x:c r="A34" s="484" t="str">
        <x:v>Purchase price bridge</x:v>
      </x:c>
      <x:c r="B34" s="484" t="n">
        <x:f>ABS('Sources &amp; Uses'!I6-'Valuation Summary'!F6)+ABS('Sources &amp; Uses'!I9-'Valuation Summary'!F7)</x:f>
        <x:v>0</x:v>
      </x:c>
      <x:c r="C34" s="484" t="n">
        <x:v>0</x:v>
      </x:c>
      <x:c r="D34" s="484" t="n">
        <x:f>B34-C34</x:f>
        <x:v>0</x:v>
      </x:c>
      <x:c r="E34" s="484" t="n">
        <x:v>0.01</x:v>
      </x:c>
      <x:c r="F34" s="769" t="str">
        <x:f>IF(ABS(D34)&lt;=E34,"OK","CHECK")</x:f>
        <x:v>OK</x:v>
      </x:c>
      <x:c r="G34" s="484" t="str">
        <x:v>Sources &amp; Uses rows 6-9</x:v>
      </x:c>
    </x:row>
    <x:row r="35">
      <x:c r="A35" s="484" t="str">
        <x:v>Cash balance above minimum</x:v>
      </x:c>
      <x:c r="B35" s="484" t="n">
        <x:f>'Sources &amp; Uses'!B33-'Sources &amp; Uses'!I44</x:f>
        <x:v>111.04479999999967</x:v>
      </x:c>
      <x:c r="C35" s="484" t="n">
        <x:v>0</x:v>
      </x:c>
      <x:c r="D35" s="484" t="n">
        <x:f>MIN(0,B35-C35)</x:f>
        <x:v>0</x:v>
      </x:c>
      <x:c r="E35" s="484" t="n">
        <x:v>0</x:v>
      </x:c>
      <x:c r="F35" s="769" t="str">
        <x:f>IF(ABS(D35)&lt;=E35,"OK","CHECK")</x:f>
        <x:v>OK</x:v>
      </x:c>
      <x:c r="G35" s="484" t="str">
        <x:v>Sources &amp; Uses rows 33 and 44</x:v>
      </x:c>
    </x:row>
    <x:row r="36">
      <x:c r="A36" s="484" t="str">
        <x:v>Gross leverage below ceiling</x:v>
      </x:c>
      <x:c r="B36" s="484" t="n">
        <x:f>'Sources &amp; Uses'!I39-'Sources &amp; Uses'!B48</x:f>
        <x:v>0.07478121571385232</x:v>
      </x:c>
      <x:c r="C36" s="484" t="n">
        <x:v>0</x:v>
      </x:c>
      <x:c r="D36" s="484" t="n">
        <x:f>MIN(0,B36-C36)</x:f>
        <x:v>0</x:v>
      </x:c>
      <x:c r="E36" s="484" t="n">
        <x:v>0</x:v>
      </x:c>
      <x:c r="F36" s="769" t="str">
        <x:f>IF(ABS(D36)&lt;=E36,"OK","CHECK")</x:f>
        <x:v>OK</x:v>
      </x:c>
      <x:c r="G36" s="484" t="str">
        <x:v>Sources &amp; Uses rows 48 and 39</x:v>
      </x:c>
    </x:row>
    <x:row r="37">
      <x:c r="A37" s="484" t="str">
        <x:v>Stock issuance bridge</x:v>
      </x:c>
      <x:c r="B37" s="484" t="n">
        <x:f>ABS('Sources &amp; Uses'!I33*'Sources &amp; Uses'!I32-'Sources &amp; Uses'!B22)</x:f>
        <x:v>0</x:v>
      </x:c>
      <x:c r="C37" s="484" t="n">
        <x:v>0</x:v>
      </x:c>
      <x:c r="D37" s="484" t="n">
        <x:f>B37-C37</x:f>
        <x:v>0</x:v>
      </x:c>
      <x:c r="E37" s="484" t="n">
        <x:v>0.01</x:v>
      </x:c>
      <x:c r="F37" s="769" t="str">
        <x:f>IF(ABS(D37)&lt;=E37,"OK","CHECK")</x:f>
        <x:v>OK</x:v>
      </x:c>
      <x:c r="G37" s="484" t="str">
        <x:v>Sources &amp; Uses rows 22 and 33</x:v>
      </x:c>
    </x:row>
    <x:row r="38">
      <x:c r="A38" s="484" t="str">
        <x:v>Purchase-accounting bridge</x:v>
      </x:c>
      <x:c r="B38" s="484" t="n">
        <x:f>'Purchase Accounting'!I46</x:f>
        <x:v>0</x:v>
      </x:c>
      <x:c r="C38" s="484" t="n">
        <x:v>0</x:v>
      </x:c>
      <x:c r="D38" s="484" t="n">
        <x:f>B38-C38</x:f>
        <x:v>0</x:v>
      </x:c>
      <x:c r="E38" s="484" t="n">
        <x:v>0.01</x:v>
      </x:c>
      <x:c r="F38" s="814" t="str">
        <x:f>IF(ABS(D38)&lt;=E38,"OK","CHECK")</x:f>
        <x:v>OK</x:v>
      </x:c>
      <x:c r="G38" s="484" t="str">
        <x:v>Purchase Accounting row 46</x:v>
      </x:c>
    </x:row>
    <x:row r="39">
      <x:c r="A39" s="484" t="str">
        <x:v>PPA allocation total</x:v>
      </x:c>
      <x:c r="B39" s="484" t="n">
        <x:f>'Purchase Accounting'!I47</x:f>
        <x:v>0.39</x:v>
      </x:c>
      <x:c r="C39" s="484" t="n">
        <x:v>0.39</x:v>
      </x:c>
      <x:c r="D39" s="484" t="n">
        <x:f>B39-C39</x:f>
        <x:v>0</x:v>
      </x:c>
      <x:c r="E39" s="484" t="n">
        <x:v>0.000001</x:v>
      </x:c>
      <x:c r="F39" s="814" t="str">
        <x:f>IF(ABS(D39)&lt;=E39,"OK","CHECK")</x:f>
        <x:v>OK</x:v>
      </x:c>
      <x:c r="G39" s="484" t="str">
        <x:v>Purchase Accounting row 47</x:v>
      </x:c>
    </x:row>
    <x:row r="40">
      <x:c r="A40" s="484" t="str">
        <x:v>Goodwill remains positive</x:v>
      </x:c>
      <x:c r="B40" s="484" t="n">
        <x:f>'Purchase Accounting'!I48</x:f>
        <x:v>8127.828847999998</x:v>
      </x:c>
      <x:c r="C40" s="484" t="n">
        <x:v>0</x:v>
      </x:c>
      <x:c r="D40" s="484" t="n">
        <x:f>MIN(0,B40-C40)</x:f>
        <x:v>0</x:v>
      </x:c>
      <x:c r="E40" s="484" t="n">
        <x:v>0</x:v>
      </x:c>
      <x:c r="F40" s="814" t="str">
        <x:f>IF(ABS(D40)&lt;=E40,"OK","CHECK")</x:f>
        <x:v>OK</x:v>
      </x:c>
      <x:c r="G40" s="484" t="str">
        <x:v>Purchase Accounting row 48</x:v>
      </x:c>
    </x:row>
    <x:row r="41">
      <x:c r="A41" s="484" t="str">
        <x:v>First-year PPA expense tie-out</x:v>
      </x:c>
      <x:c r="B41" s="484" t="n">
        <x:f>'Purchase Accounting'!I49</x:f>
        <x:v>0</x:v>
      </x:c>
      <x:c r="C41" s="484" t="n">
        <x:v>0</x:v>
      </x:c>
      <x:c r="D41" s="484" t="n">
        <x:f>B41-C41</x:f>
        <x:v>0</x:v>
      </x:c>
      <x:c r="E41" s="484" t="n">
        <x:v>0.01</x:v>
      </x:c>
      <x:c r="F41" s="814" t="str">
        <x:f>IF(ABS(D41)&lt;=E41,"OK","CHECK")</x:f>
        <x:v>OK</x:v>
      </x:c>
      <x:c r="G41" s="484" t="str">
        <x:v>Purchase Accounting row 49</x:v>
      </x:c>
    </x:row>
    <x:row r="42">
      <x:c r="A42" s="484" t="str">
        <x:v>DTL roll-forward</x:v>
      </x:c>
      <x:c r="B42" s="484" t="n">
        <x:f>'Purchase Accounting'!F46-'Purchase Accounting'!F47-'Purchase Accounting'!F48</x:f>
        <x:v>0</x:v>
      </x:c>
      <x:c r="C42" s="484" t="n">
        <x:v>0</x:v>
      </x:c>
      <x:c r="D42" s="484" t="n">
        <x:f>B42-C42</x:f>
        <x:v>0</x:v>
      </x:c>
      <x:c r="E42" s="484" t="n">
        <x:v>0.01</x:v>
      </x:c>
      <x:c r="F42" s="814" t="str">
        <x:f>IF(ABS(D42)&lt;=E42,"OK","CHECK")</x:f>
        <x:v>OK</x:v>
      </x:c>
      <x:c r="G42" s="484" t="str">
        <x:v>Purchase Accounting rows 46-48</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pageMargins left="0.7" right="0.7" top="0.75" bottom="0.75" header="0.3" footer="0.3"/>
</x:worksheet>
</file>