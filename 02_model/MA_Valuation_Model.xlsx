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8e2ec050bda4ca7" /></Relationships>
</file>

<file path=xl/workbook.xml><?xml version="1.0" encoding="utf-8"?>
<x:workbook xmlns:x="http://schemas.openxmlformats.org/spreadsheetml/2006/main">
  <x:sheets>
    <x:sheet xmlns:r="http://schemas.openxmlformats.org/officeDocument/2006/relationships" name="Cover" sheetId="1" r:id="R1dd3810331e54681"/>
    <x:sheet xmlns:r="http://schemas.openxmlformats.org/officeDocument/2006/relationships" name="Control" sheetId="2" r:id="R8f5ddea17ffa485d"/>
    <x:sheet xmlns:r="http://schemas.openxmlformats.org/officeDocument/2006/relationships" name="Sources" sheetId="3" r:id="Rd78e776180794d73"/>
    <x:sheet xmlns:r="http://schemas.openxmlformats.org/officeDocument/2006/relationships" name="ROK Historical" sheetId="4" r:id="R17404b112bae4706"/>
    <x:sheet xmlns:r="http://schemas.openxmlformats.org/officeDocument/2006/relationships" name="CGNX Historical" sheetId="5" r:id="Rb21f822a1cc44a12"/>
    <x:sheet xmlns:r="http://schemas.openxmlformats.org/officeDocument/2006/relationships" name="CGNX Operating Model" sheetId="6" r:id="R8d4f70c80df24841"/>
    <x:sheet xmlns:r="http://schemas.openxmlformats.org/officeDocument/2006/relationships" name="ROK Forecast" sheetId="7" r:id="Rba564b03131c4630"/>
    <x:sheet xmlns:r="http://schemas.openxmlformats.org/officeDocument/2006/relationships" name="DCF" sheetId="8" r:id="Rda684895e721438f"/>
    <x:sheet xmlns:r="http://schemas.openxmlformats.org/officeDocument/2006/relationships" name="Trading Comps" sheetId="9" r:id="R1930e61aff51462a"/>
    <x:sheet xmlns:r="http://schemas.openxmlformats.org/officeDocument/2006/relationships" name="Precedent Transactions" sheetId="10" r:id="Rb5cfdf4d7aeb43c5"/>
    <x:sheet xmlns:r="http://schemas.openxmlformats.org/officeDocument/2006/relationships" name="Valuation Summary" sheetId="11" r:id="R7cb71841a215468b"/>
    <x:sheet xmlns:r="http://schemas.openxmlformats.org/officeDocument/2006/relationships" name="Sources &amp; Uses" sheetId="12" r:id="R1ff3cda4cc5847f2"/>
    <x:sheet xmlns:r="http://schemas.openxmlformats.org/officeDocument/2006/relationships" name="Purchase Accounting" sheetId="13" r:id="R5ced32c55ea24475"/>
    <x:sheet xmlns:r="http://schemas.openxmlformats.org/officeDocument/2006/relationships" name="Accretion Dilution" sheetId="14" r:id="R9fbb43493e454b52"/>
    <x:sheet xmlns:r="http://schemas.openxmlformats.org/officeDocument/2006/relationships" name="Synergies" sheetId="15" r:id="Ra3015c248be94c9a"/>
    <x:sheet xmlns:r="http://schemas.openxmlformats.org/officeDocument/2006/relationships" name="Sensitivities" sheetId="16" r:id="Rd905c55e9b824730"/>
    <x:sheet xmlns:r="http://schemas.openxmlformats.org/officeDocument/2006/relationships" name="Checks" sheetId="17" r:id="R78bb7f6040834811"/>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6">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 numFmtId="224" formatCode="yyyy&quot;E&quot;"/>
    <x:numFmt numFmtId="225" formatCode="$#,##0.00"/>
  </x:numFmts>
  <x:fonts count="46">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
      <x:b/>
      <x:sz val="9"/>
      <x:color rgb="FFC00000"/>
      <x:name val="Arial"/>
    </x:font>
  </x:fonts>
  <x:fills count="69">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4CCCC"/>
      </x:patternFill>
    </x:fill>
    <x:fill>
      <x:patternFill patternType="solid">
        <x:fgColor rgb="FFF2F2F2"/>
      </x:patternFill>
    </x:fill>
  </x:fills>
  <x:borders count="25">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s>
  <x:cellStyleXfs count="1">
    <x:xf numFmtId="0" fontId="0" fillId="0" borderId="0"/>
  </x:cellStyleXfs>
  <x:cellXfs count="85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xf numFmtId="0" fontId="38" fillId="54" borderId="0" xfId="0" applyNumberFormat="1" applyFont="1" applyFill="1" applyBorder="1" applyAlignment="1">
      <x:alignment vertical="center"/>
    </x:xf>
    <x:xf numFmtId="0" fontId="33" fillId="54" borderId="0" xfId="0" applyNumberFormat="1" applyFont="1" applyFill="1" applyBorder="1" applyAlignment="1">
      <x:alignment vertical="center"/>
    </x:xf>
    <x:xf numFmtId="0" fontId="38" fillId="55" borderId="0" xfId="0" applyNumberFormat="1" applyFont="1" applyFill="1" applyBorder="1" applyAlignment="1">
      <x:alignment vertical="center"/>
    </x:xf>
    <x:xf numFmtId="0" fontId="34" fillId="55" borderId="0" xfId="0" applyNumberFormat="1" applyFont="1" applyFill="1" applyBorder="1" applyAlignment="1">
      <x:alignment vertical="center"/>
    </x:xf>
    <x:xf numFmtId="0" fontId="38" fillId="56" borderId="0" xfId="0" applyNumberFormat="1" applyFont="1" applyFill="1" applyBorder="1" applyAlignment="1">
      <x:alignment vertical="center"/>
    </x:xf>
    <x:xf numFmtId="0" fontId="35" fillId="56" borderId="0" xfId="0" applyNumberFormat="1" applyFont="1" applyFill="1" applyBorder="1" applyAlignment="1">
      <x:alignment vertical="center"/>
    </x:xf>
    <x:xf numFmtId="0" fontId="38" fillId="57" borderId="0" xfId="0" applyNumberFormat="1" applyFont="1" applyFill="1" applyBorder="1" applyAlignment="1">
      <x:alignment vertical="center"/>
    </x:xf>
    <x:xf numFmtId="0" fontId="19" fillId="57" borderId="0" xfId="0" applyNumberFormat="1" applyFont="1" applyFill="1" applyBorder="1" applyAlignment="1">
      <x:alignment vertical="center"/>
    </x:xf>
    <x:xf numFmtId="0" fontId="38" fillId="58" borderId="22" xfId="0" applyNumberFormat="1" applyFont="1" applyFill="1" applyBorder="1" applyAlignment="1">
      <x:alignment vertical="center"/>
    </x:xf>
    <x:xf numFmtId="0" fontId="36" fillId="58" borderId="22" xfId="0" applyNumberFormat="1" applyFont="1" applyFill="1" applyBorder="1" applyAlignment="1">
      <x:alignment vertical="center"/>
    </x:xf>
    <x:xf numFmtId="0" fontId="37" fillId="59" borderId="22" xfId="0" applyNumberFormat="1" applyFont="1" applyFill="1" applyBorder="1" applyAlignment="1">
      <x:alignment vertical="center"/>
    </x:xf>
    <x:xf numFmtId="0" fontId="38" fillId="55" borderId="22" xfId="0" applyNumberFormat="1" applyFont="1" applyFill="1" applyBorder="1" applyAlignment="1">
      <x:alignment vertical="center"/>
    </x:xf>
    <x:xf numFmtId="0" fontId="36" fillId="55" borderId="22" xfId="0" applyNumberFormat="1" applyFont="1" applyFill="1" applyBorder="1" applyAlignment="1">
      <x:alignment vertical="center"/>
    </x:xf>
    <x:xf numFmtId="0" fontId="41" fillId="0" borderId="22" xfId="0" applyNumberFormat="1" applyFont="1" applyFill="1" applyBorder="1" applyAlignment="1">
      <x:alignment vertical="center"/>
    </x:xf>
    <x:xf numFmtId="0" fontId="36" fillId="58" borderId="24" xfId="0" applyNumberFormat="1" applyFont="1" applyFill="1" applyBorder="1" applyAlignment="1">
      <x:alignment vertical="center"/>
    </x:xf>
    <x:xf numFmtId="0" fontId="38" fillId="56" borderId="22" xfId="0" applyNumberFormat="1" applyFont="1" applyFill="1" applyBorder="1" applyAlignment="1">
      <x:alignment vertical="center"/>
    </x:xf>
    <x:xf numFmtId="0" fontId="41" fillId="56" borderId="22" xfId="0" applyNumberFormat="1" applyFont="1" applyFill="1" applyBorder="1" applyAlignment="1">
      <x:alignment vertical="center"/>
    </x:xf>
    <x:xf numFmtId="0" fontId="38" fillId="60" borderId="22" xfId="0" applyNumberFormat="1" applyFont="1" applyFill="1" applyBorder="1" applyAlignment="1">
      <x:alignment vertical="center"/>
    </x:xf>
    <x:xf numFmtId="0" fontId="41" fillId="60" borderId="22" xfId="0" applyNumberFormat="1" applyFont="1" applyFill="1" applyBorder="1" applyAlignment="1">
      <x:alignment vertical="center"/>
    </x:xf>
    <x:xf numFmtId="0" fontId="38" fillId="56" borderId="24" xfId="0" applyNumberFormat="1" applyFont="1" applyFill="1" applyBorder="1" applyAlignment="1">
      <x:alignment vertical="center"/>
    </x:xf>
    <x:xf numFmtId="0" fontId="38" fillId="59" borderId="22" xfId="0" applyNumberFormat="1" applyFont="1" applyFill="1" applyBorder="1" applyAlignment="1">
      <x:alignment vertical="center"/>
    </x:xf>
    <x:xf numFmtId="0" fontId="38" fillId="60" borderId="0" xfId="0" applyNumberFormat="1" applyFont="1" applyFill="1" applyBorder="1" applyAlignment="1">
      <x:alignment vertical="center"/>
    </x:xf>
    <x:xf numFmtId="0" fontId="38" fillId="60" borderId="0" xfId="0" applyNumberFormat="1" applyFont="1" applyFill="1" applyBorder="1" applyAlignment="1">
      <x:alignment vertical="center" wrapText="1"/>
    </x:xf>
    <x:xf numFmtId="0" fontId="39" fillId="60" borderId="0" xfId="0" applyNumberFormat="1" applyFont="1" applyFill="1" applyBorder="1" applyAlignment="1">
      <x:alignment vertical="center" wrapText="1"/>
    </x:xf>
    <x:xf numFmtId="215" fontId="42" fillId="0" borderId="22" xfId="0" applyNumberFormat="1" applyFont="1" applyFill="1" applyBorder="1" applyAlignment="1">
      <x:alignment vertical="center"/>
    </x:xf>
    <x:xf numFmtId="213" fontId="37" fillId="59" borderId="22" xfId="0" applyNumberFormat="1" applyFont="1" applyFill="1" applyBorder="1" applyAlignment="1">
      <x:alignment vertical="center"/>
    </x:xf>
    <x:xf numFmtId="201" fontId="37" fillId="59" borderId="22" xfId="0" applyNumberFormat="1" applyFont="1" applyFill="1" applyBorder="1" applyAlignment="1">
      <x:alignment vertical="center"/>
    </x:xf>
    <x:xf numFmtId="200" fontId="42" fillId="0" borderId="22" xfId="0" applyNumberFormat="1" applyFont="1" applyFill="1" applyBorder="1" applyAlignment="1">
      <x:alignment vertical="center"/>
    </x:xf>
    <x:xf numFmtId="213" fontId="41" fillId="0" borderId="24" xfId="0" applyNumberFormat="1" applyFont="1" applyFill="1" applyBorder="1" applyAlignment="1">
      <x:alignment vertical="center"/>
    </x:xf>
    <x:xf numFmtId="215" fontId="41" fillId="0" borderId="24" xfId="0" applyNumberFormat="1" applyFont="1" applyFill="1" applyBorder="1" applyAlignment="1">
      <x:alignment vertical="center"/>
    </x:xf>
    <x:xf numFmtId="209" fontId="37" fillId="59" borderId="22" xfId="0" applyNumberFormat="1" applyFont="1" applyFill="1" applyBorder="1" applyAlignment="1">
      <x:alignment vertical="center"/>
    </x:xf>
    <x:xf numFmtId="215" fontId="41" fillId="56" borderId="22" xfId="0" applyNumberFormat="1" applyFont="1" applyFill="1" applyBorder="1" applyAlignment="1">
      <x:alignment vertical="center"/>
    </x:xf>
    <x:xf numFmtId="213" fontId="41" fillId="56" borderId="22" xfId="0" applyNumberFormat="1" applyFont="1" applyFill="1" applyBorder="1" applyAlignment="1">
      <x:alignment vertical="center"/>
    </x:xf>
    <x:xf numFmtId="224" fontId="41" fillId="60" borderId="22" xfId="0" applyNumberFormat="1" applyFont="1" applyFill="1" applyBorder="1" applyAlignment="1">
      <x:alignment vertical="center"/>
    </x:xf>
    <x:xf numFmtId="201" fontId="38" fillId="55" borderId="22" xfId="0" applyNumberFormat="1" applyFont="1" applyFill="1" applyBorder="1" applyAlignment="1">
      <x:alignment vertical="center"/>
    </x:xf>
    <x:xf numFmtId="215" fontId="38" fillId="56" borderId="24" xfId="0" applyNumberFormat="1" applyFont="1" applyFill="1" applyBorder="1" applyAlignment="1">
      <x:alignment vertical="center"/>
    </x:xf>
    <x:xf numFmtId="215" fontId="19" fillId="57" borderId="0" xfId="0" applyNumberFormat="1" applyFont="1" applyFill="1" applyBorder="1" applyAlignment="1">
      <x:alignment vertical="center"/>
    </x:xf>
    <x:xf numFmtId="215" fontId="38" fillId="56" borderId="22" xfId="0" applyNumberFormat="1" applyFont="1" applyFill="1" applyBorder="1" applyAlignment="1">
      <x:alignment vertical="center"/>
    </x:xf>
    <x:xf numFmtId="213" fontId="38" fillId="59" borderId="22" xfId="0" applyNumberFormat="1" applyFont="1" applyFill="1" applyBorder="1" applyAlignment="1">
      <x:alignment vertical="center"/>
    </x:xf>
    <x:xf numFmtId="0" fontId="36" fillId="55" borderId="22" xfId="0" applyNumberFormat="1" applyFont="1" applyFill="1" applyBorder="1" applyAlignment="1">
      <x:alignment vertical="center" wrapText="1"/>
    </x:xf>
    <x:xf numFmtId="0" fontId="19" fillId="57" borderId="0" xfId="0" applyNumberFormat="1" applyFont="1" applyFill="1" applyBorder="1" applyAlignment="1">
      <x:alignment vertical="center" wrapText="1"/>
    </x:xf>
    <x:xf numFmtId="0" fontId="9" fillId="56" borderId="0" xfId="0" applyNumberFormat="1" applyFont="1" applyFill="1" applyBorder="1"/>
    <x:xf numFmtId="0" fontId="26" fillId="56" borderId="0" xfId="0" applyNumberFormat="1" applyFont="1" applyFill="1" applyBorder="1"/>
    <x:xf numFmtId="0" fontId="0" fillId="56" borderId="22" xfId="0" applyNumberFormat="1" applyFont="1" applyFill="1" applyBorder="1"/>
    <x:xf numFmtId="0" fontId="40" fillId="56" borderId="22" xfId="0" applyNumberFormat="1" applyFont="1" applyFill="1" applyBorder="1"/>
    <x:xf numFmtId="0" fontId="38" fillId="61" borderId="0" xfId="0" applyNumberFormat="1" applyFont="1" applyFill="1" applyBorder="1" applyAlignment="1">
      <x:alignment vertical="center"/>
    </x:xf>
    <x:xf numFmtId="0" fontId="33" fillId="61" borderId="0" xfId="0" applyNumberFormat="1" applyFont="1" applyFill="1" applyBorder="1" applyAlignment="1">
      <x:alignment vertical="center"/>
    </x:xf>
    <x:xf numFmtId="0" fontId="38" fillId="62" borderId="0" xfId="0" applyNumberFormat="1" applyFont="1" applyFill="1" applyBorder="1" applyAlignment="1">
      <x:alignment vertical="center"/>
    </x:xf>
    <x:xf numFmtId="0" fontId="34" fillId="62" borderId="0" xfId="0" applyNumberFormat="1" applyFont="1" applyFill="1" applyBorder="1" applyAlignment="1">
      <x:alignment vertical="center"/>
    </x:xf>
    <x:xf numFmtId="0" fontId="38" fillId="63" borderId="0" xfId="0" applyNumberFormat="1" applyFont="1" applyFill="1" applyBorder="1" applyAlignment="1">
      <x:alignment vertical="center"/>
    </x:xf>
    <x:xf numFmtId="0" fontId="35" fillId="63" borderId="0" xfId="0" applyNumberFormat="1" applyFont="1" applyFill="1" applyBorder="1" applyAlignment="1">
      <x:alignment vertical="center"/>
    </x:xf>
    <x:xf numFmtId="0" fontId="38" fillId="64" borderId="0" xfId="0" applyNumberFormat="1" applyFont="1" applyFill="1" applyBorder="1" applyAlignment="1">
      <x:alignment vertical="center"/>
    </x:xf>
    <x:xf numFmtId="0" fontId="19" fillId="64" borderId="0" xfId="0" applyNumberFormat="1" applyFont="1" applyFill="1" applyBorder="1" applyAlignment="1">
      <x:alignment vertical="center"/>
    </x:xf>
    <x:xf numFmtId="0" fontId="38" fillId="65" borderId="22" xfId="0" applyNumberFormat="1" applyFont="1" applyFill="1" applyBorder="1" applyAlignment="1">
      <x:alignment vertical="center"/>
    </x:xf>
    <x:xf numFmtId="0" fontId="36" fillId="65" borderId="22" xfId="0" applyNumberFormat="1" applyFont="1" applyFill="1" applyBorder="1" applyAlignment="1">
      <x:alignment vertical="center"/>
    </x:xf>
    <x:xf numFmtId="0" fontId="37" fillId="66" borderId="22" xfId="0" applyNumberFormat="1" applyFont="1" applyFill="1" applyBorder="1" applyAlignment="1">
      <x:alignment vertical="center"/>
    </x:xf>
    <x:xf numFmtId="0" fontId="38" fillId="67" borderId="22" xfId="0" applyNumberFormat="1" applyFont="1" applyFill="1" applyBorder="1" applyAlignment="1">
      <x:alignment vertical="center"/>
    </x:xf>
    <x:xf numFmtId="0" fontId="45" fillId="67" borderId="22" xfId="0" applyNumberFormat="1" applyFont="1" applyFill="1" applyBorder="1" applyAlignment="1">
      <x:alignment vertical="center"/>
    </x:xf>
    <x:xf numFmtId="0" fontId="38" fillId="63" borderId="22" xfId="0" applyNumberFormat="1" applyFont="1" applyFill="1" applyBorder="1" applyAlignment="1">
      <x:alignment vertical="center"/>
    </x:xf>
    <x:xf numFmtId="0" fontId="41" fillId="63" borderId="22" xfId="0" applyNumberFormat="1" applyFont="1" applyFill="1" applyBorder="1" applyAlignment="1">
      <x:alignment vertical="center"/>
    </x:xf>
    <x:xf numFmtId="0" fontId="38" fillId="68" borderId="22" xfId="0" applyNumberFormat="1" applyFont="1" applyFill="1" applyBorder="1" applyAlignment="1">
      <x:alignment vertical="center"/>
    </x:xf>
    <x:xf numFmtId="0" fontId="41" fillId="68" borderId="22" xfId="0" applyNumberFormat="1" applyFont="1" applyFill="1" applyBorder="1" applyAlignment="1">
      <x:alignment vertical="center"/>
    </x:xf>
    <x:xf numFmtId="0" fontId="36" fillId="65" borderId="24" xfId="0" applyNumberFormat="1" applyFont="1" applyFill="1" applyBorder="1" applyAlignment="1">
      <x:alignment vertical="center"/>
    </x:xf>
    <x:xf numFmtId="0" fontId="38" fillId="67" borderId="24" xfId="0" applyNumberFormat="1" applyFont="1" applyFill="1" applyBorder="1" applyAlignment="1">
      <x:alignment vertical="center"/>
    </x:xf>
    <x:xf numFmtId="0" fontId="40" fillId="63" borderId="22" xfId="0" applyNumberFormat="1" applyFont="1" applyFill="1" applyBorder="1" applyAlignment="1">
      <x:alignment vertical="center"/>
    </x:xf>
    <x:xf numFmtId="0" fontId="38" fillId="68" borderId="0" xfId="0" applyNumberFormat="1" applyFont="1" applyFill="1" applyBorder="1" applyAlignment="1">
      <x:alignment vertical="center"/>
    </x:xf>
    <x:xf numFmtId="0" fontId="38" fillId="68" borderId="0" xfId="0" applyNumberFormat="1" applyFont="1" applyFill="1" applyBorder="1" applyAlignment="1">
      <x:alignment vertical="center" wrapText="1"/>
    </x:xf>
    <x:xf numFmtId="0" fontId="39" fillId="68" borderId="0" xfId="0" applyNumberFormat="1" applyFont="1" applyFill="1" applyBorder="1" applyAlignment="1">
      <x:alignment vertical="center" wrapText="1"/>
    </x:xf>
    <x:xf numFmtId="213" fontId="37" fillId="66" borderId="22" xfId="0" applyNumberFormat="1" applyFont="1" applyFill="1" applyBorder="1" applyAlignment="1">
      <x:alignment vertical="center"/>
    </x:xf>
    <x:xf numFmtId="209" fontId="37" fillId="66" borderId="22" xfId="0" applyNumberFormat="1" applyFont="1" applyFill="1" applyBorder="1" applyAlignment="1">
      <x:alignment vertical="center"/>
    </x:xf>
    <x:xf numFmtId="213" fontId="45" fillId="67" borderId="22" xfId="0" applyNumberFormat="1" applyFont="1" applyFill="1" applyBorder="1" applyAlignment="1">
      <x:alignment vertical="center"/>
    </x:xf>
    <x:xf numFmtId="215" fontId="45" fillId="67" borderId="22" xfId="0" applyNumberFormat="1" applyFont="1" applyFill="1" applyBorder="1" applyAlignment="1">
      <x:alignment vertical="center"/>
    </x:xf>
    <x:xf numFmtId="213" fontId="41" fillId="63" borderId="22" xfId="0" applyNumberFormat="1" applyFont="1" applyFill="1" applyBorder="1" applyAlignment="1">
      <x:alignment vertical="center"/>
    </x:xf>
    <x:xf numFmtId="224" fontId="41" fillId="68" borderId="22" xfId="0" applyNumberFormat="1" applyFont="1" applyFill="1" applyBorder="1" applyAlignment="1">
      <x:alignment vertical="center"/>
    </x:xf>
    <x:xf numFmtId="215" fontId="38" fillId="0" borderId="24" xfId="0" applyNumberFormat="1" applyFont="1" applyFill="1" applyBorder="1" applyAlignment="1">
      <x:alignment vertical="center"/>
    </x:xf>
    <x:xf numFmtId="214" fontId="38" fillId="67" borderId="22" xfId="0" applyNumberFormat="1" applyFont="1" applyFill="1" applyBorder="1" applyAlignment="1">
      <x:alignment vertical="center"/>
    </x:xf>
    <x:xf numFmtId="213" fontId="38" fillId="67" borderId="24" xfId="0" applyNumberFormat="1" applyFont="1" applyFill="1" applyBorder="1" applyAlignment="1">
      <x:alignment vertical="center"/>
    </x:xf>
    <x:xf numFmtId="215" fontId="38" fillId="67" borderId="22" xfId="0" applyNumberFormat="1" applyFont="1" applyFill="1" applyBorder="1" applyAlignment="1">
      <x:alignment vertical="center"/>
    </x:xf>
    <x:xf numFmtId="213" fontId="38" fillId="67" borderId="22" xfId="0" applyNumberFormat="1" applyFont="1" applyFill="1" applyBorder="1" applyAlignment="1">
      <x:alignment vertical="center"/>
    </x:xf>
    <x:xf numFmtId="225" fontId="40" fillId="63" borderId="22" xfId="0" applyNumberFormat="1" applyFont="1" applyFill="1" applyBorder="1" applyAlignment="1">
      <x:alignment vertical="center"/>
    </x:xf>
    <x:xf numFmtId="0" fontId="9" fillId="63" borderId="0" xfId="0" applyNumberFormat="1" applyFont="1" applyFill="1" applyBorder="1"/>
    <x:xf numFmtId="0" fontId="26" fillId="63" borderId="0" xfId="0" applyNumberFormat="1" applyFont="1" applyFill="1" applyBorder="1"/>
    <x:xf numFmtId="0" fontId="0" fillId="63" borderId="22" xfId="0" applyNumberFormat="1" applyFont="1" applyFill="1" applyBorder="1"/>
    <x:xf numFmtId="0" fontId="40" fillId="63" borderId="22" xfId="0" applyNumberFormat="1" applyFont="1" applyFill="1" applyBorder="1"/>
  </x:cellXfs>
  <x:cellStyles count="1">
    <x:cellStyle name="Normal" xfId="0"/>
  </x:cellStyles>
  <x:dxfs count="17">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b6058a40bb44b3" /><Relationship Type="http://schemas.openxmlformats.org/officeDocument/2006/relationships/theme" Target="/xl/theme/theme1.xml" Id="Re16d39a7ec364205" /><Relationship Type="http://schemas.openxmlformats.org/officeDocument/2006/relationships/sharedStrings" Target="/xl/sharedStrings.xml" Id="R79985d71fcbe4105" /><Relationship Type="http://schemas.openxmlformats.org/officeDocument/2006/relationships/worksheet" Target="/xl/worksheets/sheet1.xml" Id="R1dd3810331e54681" /><Relationship Type="http://schemas.openxmlformats.org/officeDocument/2006/relationships/worksheet" Target="/xl/worksheets/sheet2.xml" Id="R8f5ddea17ffa485d" /><Relationship Type="http://schemas.openxmlformats.org/officeDocument/2006/relationships/worksheet" Target="/xl/worksheets/sheet3.xml" Id="Rd78e776180794d73" /><Relationship Type="http://schemas.openxmlformats.org/officeDocument/2006/relationships/worksheet" Target="/xl/worksheets/sheet4.xml" Id="R17404b112bae4706" /><Relationship Type="http://schemas.openxmlformats.org/officeDocument/2006/relationships/worksheet" Target="/xl/worksheets/sheet5.xml" Id="Rb21f822a1cc44a12" /><Relationship Type="http://schemas.openxmlformats.org/officeDocument/2006/relationships/worksheet" Target="/xl/worksheets/sheet6.xml" Id="R8d4f70c80df24841" /><Relationship Type="http://schemas.openxmlformats.org/officeDocument/2006/relationships/worksheet" Target="/xl/worksheets/sheet7.xml" Id="Rba564b03131c4630" /><Relationship Type="http://schemas.openxmlformats.org/officeDocument/2006/relationships/worksheet" Target="/xl/worksheets/sheet8.xml" Id="Rda684895e721438f" /><Relationship Type="http://schemas.openxmlformats.org/officeDocument/2006/relationships/worksheet" Target="/xl/worksheets/sheet9.xml" Id="R1930e61aff51462a" /><Relationship Type="http://schemas.openxmlformats.org/officeDocument/2006/relationships/worksheet" Target="/xl/worksheets/sheet10.xml" Id="Rb5cfdf4d7aeb43c5" /><Relationship Type="http://schemas.openxmlformats.org/officeDocument/2006/relationships/worksheet" Target="/xl/worksheets/sheet11.xml" Id="R7cb71841a215468b" /><Relationship Type="http://schemas.openxmlformats.org/officeDocument/2006/relationships/worksheet" Target="/xl/worksheets/sheet12.xml" Id="R1ff3cda4cc5847f2" /><Relationship Type="http://schemas.openxmlformats.org/officeDocument/2006/relationships/worksheet" Target="/xl/worksheets/sheet13.xml" Id="R5ced32c55ea24475" /><Relationship Type="http://schemas.openxmlformats.org/officeDocument/2006/relationships/worksheet" Target="/xl/worksheets/sheet14.xml" Id="R9fbb43493e454b52" /><Relationship Type="http://schemas.openxmlformats.org/officeDocument/2006/relationships/worksheet" Target="/xl/worksheets/sheet15.xml" Id="Ra3015c248be94c9a" /><Relationship Type="http://schemas.openxmlformats.org/officeDocument/2006/relationships/worksheet" Target="/xl/worksheets/sheet16.xml" Id="Rd905c55e9b824730" /><Relationship Type="http://schemas.openxmlformats.org/officeDocument/2006/relationships/worksheet" Target="/xl/worksheets/sheet17.xml" Id="R78bb7f6040834811" /><Relationship Type="http://schemas.microsoft.com/office/2017/10/relationships/person" Target="/xl/persons/person.xml" Id="R9c65415c21414c12"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3331fa0beaaa4835" /><Relationship Type="http://schemas.openxmlformats.org/officeDocument/2006/relationships/vmlDrawing" Target="/xl/drawings/vmldrawing.vml" Id="R001a1ece70a9424d" /><Relationship Type="http://schemas.microsoft.com/office/2017/10/relationships/threadedComment" Target="/xl/threadedcomments/threadedcomment.xml" Id="R114730be762e4de7" /></Relationships>
</file>

<file path=xl/worksheets/_rels/sheet5.xml.rels>&#65279;<?xml version="1.0" encoding="utf-8"?><Relationships xmlns="http://schemas.openxmlformats.org/package/2006/relationships"><Relationship Type="http://schemas.openxmlformats.org/officeDocument/2006/relationships/comments" Target="/xl/comments2.xml" Id="Rce9f6d5faaf54d39" /><Relationship Type="http://schemas.openxmlformats.org/officeDocument/2006/relationships/vmlDrawing" Target="/xl/drawings/vmldrawing2.vml" Id="Re4ca4b07f8344aac" /><Relationship Type="http://schemas.microsoft.com/office/2017/10/relationships/threadedComment" Target="/xl/threadedcomments/threadedcomment2.xml" Id="Refa18f0fed0041aa" /></Relationships>
</file>

<file path=xl/worksheets/_rels/sheet8.xml.rels>&#65279;<?xml version="1.0" encoding="utf-8"?><Relationships xmlns="http://schemas.openxmlformats.org/package/2006/relationships"><Relationship Type="http://schemas.openxmlformats.org/officeDocument/2006/relationships/comments" Target="/xl/comments3.xml" Id="R4dfa364be0504f4e" /><Relationship Type="http://schemas.openxmlformats.org/officeDocument/2006/relationships/vmlDrawing" Target="/xl/drawings/vmldrawing3.vml" Id="R51fec4ba1cdc4357" /><Relationship Type="http://schemas.microsoft.com/office/2017/10/relationships/threadedComment" Target="/xl/threadedcomments/threadedcomment3.xml" Id="R145066e590b74681"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0.9 — accretion / dilution complete</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850" t="str">
        <x:v>CORE TRANSACTION MODEL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38"/>
      <x:c r="C17" t="str">
        <x:v>Not started</x:v>
      </x:c>
      <x:c r="D17" t="str">
        <x:v>Operationally supported assumption</x:v>
      </x:c>
    </x:row>
    <x:row r="18">
      <x:c r="A18" t="str">
        <x:v>Revenue synergies</x:v>
      </x:c>
      <x:c r="B18" s="38"/>
      <x:c r="C18" t="str">
        <x:v>Not started</x:v>
      </x:c>
      <x:c r="D18" t="str">
        <x:v>Separately modeled and risk-adjusted</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row r="35" ht="38" customHeight="1">
      <x:c r="A35" s="480" t="str">
        <x:v>S-052</x:v>
      </x:c>
      <x:c r="B35" s="480" t="str">
        <x:v>Cognex</x:v>
      </x:c>
      <x:c r="C35" s="480" t="str">
        <x:v>Second-quarter 2026 results and balance sheet</x:v>
      </x:c>
      <x:c r="D35" s="481" t="n">
        <x:v>46240</x:v>
      </x:c>
      <x:c r="E35" s="481" t="n">
        <x:v>46255</x:v>
      </x:c>
      <x:c r="F35" s="480" t="str">
        <x:v>Latest target shareholders’ equity, existing goodwill, existing intangible assets, and balance-sheet context</x:v>
      </x:c>
      <x:c r="G35" s="480" t="str">
        <x:v>https://www.prnewswire.com/news-releases/cognex-reports-second-quarter-2026-results-302844140.html</x:v>
      </x:c>
      <x:c r="H35" s="480" t="str">
        <x:v>Company-issued earnings release; unaudited July 5, 2026 balance sheet</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001a1ece70a9424d"/>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e4ca4b07f8344aac"/>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51fec4ba1cdc4357"/>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preliminary. Purchase accounting and accretion/dilution will test whether the $80 offer remains economically supportable after incremental interest, stock issuance, intangible amortization, and synergies.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4" hidden="0" customWidth="1"/>
    <x:col min="4" max="4" width="13" hidden="0" customWidth="1"/>
    <x:col min="5" max="5" width="14" hidden="0" customWidth="1"/>
    <x:col min="6" max="6" width="34" hidden="0" customWidth="1"/>
    <x:col min="7" max="7" width="24" hidden="0" customWidth="1"/>
    <x:col min="8" max="8" width="3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71" t="str">
        <x:v>Purchase Accounting</x:v>
      </x:c>
      <x:c r="B1" s="771"/>
      <x:c r="C1" s="771"/>
      <x:c r="D1" s="771"/>
      <x:c r="E1" s="771"/>
      <x:c r="F1" s="771"/>
      <x:c r="G1" s="771"/>
      <x:c r="H1" s="771"/>
      <x:c r="I1" s="771"/>
      <x:c r="J1" s="771"/>
      <x:c r="K1" s="771"/>
      <x:c r="L1" s="771"/>
      <x:c r="M1" s="771"/>
      <x:c r="N1" s="771"/>
      <x:c r="O1" s="771"/>
    </x:row>
    <x:row r="2" ht="18" customHeight="1">
      <x:c r="A2" s="773" t="str">
        <x:v>Illustrative purchase-price allocation, new goodwill, deferred taxes, and incremental non-cash expense | USD millions</x:v>
      </x:c>
      <x:c r="B2" s="773"/>
      <x:c r="C2" s="773"/>
      <x:c r="D2" s="773"/>
      <x:c r="E2" s="773"/>
      <x:c r="F2" s="773"/>
      <x:c r="G2" s="773"/>
      <x:c r="H2" s="773"/>
      <x:c r="I2" s="773"/>
      <x:c r="J2" s="773"/>
      <x:c r="K2" s="773"/>
      <x:c r="L2" s="773"/>
      <x:c r="M2" s="773"/>
      <x:c r="N2" s="773"/>
      <x:c r="O2" s="773"/>
    </x:row>
    <x:row r="3" ht="18" customHeight="1">
      <x:c r="A3" s="432" t="str">
        <x:v>Status</x:v>
      </x:c>
      <x:c r="B3" s="775" t="str">
        <x:v>Complete — preliminary allocation for merger-model purposes; third-party valuation work would be required at closing</x:v>
      </x:c>
      <x:c r="C3" s="775"/>
      <x:c r="D3" s="775"/>
      <x:c r="E3" s="775"/>
      <x:c r="F3" s="775"/>
      <x:c r="G3" s="775"/>
      <x:c r="H3" s="775"/>
      <x:c r="I3" s="775"/>
      <x:c r="J3" s="775"/>
      <x:c r="K3" s="775"/>
      <x:c r="L3" s="775"/>
      <x:c r="M3" s="775"/>
      <x:c r="N3" s="775"/>
      <x:c r="O3" s="775"/>
    </x:row>
    <x:row r="4" ht="18" customHeight="1">
      <x:c r="A4" s="538"/>
      <x:c r="B4" s="538"/>
      <x:c r="C4" s="538"/>
      <x:c r="D4" s="538"/>
      <x:c r="E4" s="538"/>
      <x:c r="F4" s="538"/>
      <x:c r="G4" s="538"/>
      <x:c r="H4" s="538"/>
      <x:c r="I4" s="538"/>
      <x:c r="J4" s="538"/>
      <x:c r="K4" s="538"/>
      <x:c r="L4" s="538"/>
      <x:c r="M4" s="538"/>
      <x:c r="N4" s="538"/>
      <x:c r="O4" s="538"/>
    </x:row>
    <x:row r="5" ht="18" customHeight="1">
      <x:c r="A5" s="777" t="str">
        <x:v>PURCHASE ACCOUNTING INPUTS</x:v>
      </x:c>
      <x:c r="B5" s="777"/>
      <x:c r="C5" s="777"/>
      <x:c r="D5" s="777"/>
      <x:c r="E5" s="777"/>
      <x:c r="F5" s="777"/>
      <x:c r="G5" s="538"/>
      <x:c r="H5" s="777" t="str">
        <x:v>PURCHASE-PRICE ALLOCATION BRIDGE</x:v>
      </x:c>
      <x:c r="I5" s="777"/>
      <x:c r="J5" s="777"/>
      <x:c r="K5" s="777"/>
      <x:c r="L5" s="777"/>
      <x:c r="M5" s="777"/>
      <x:c r="N5" s="777"/>
      <x:c r="O5" s="777"/>
    </x:row>
    <x:row r="6" ht="24" customHeight="1">
      <x:c r="A6" s="779" t="str">
        <x:v>Purchase consideration</x:v>
      </x:c>
      <x:c r="B6" s="794" t="n">
        <x:f>'Sources &amp; Uses'!I6</x:f>
        <x:v>13457.919999999998</x:v>
      </x:c>
      <x:c r="C6" s="436" t="str">
        <x:v>$mm</x:v>
      </x:c>
      <x:c r="D6" s="436" t="str">
        <x:v>Sources &amp; Uses</x:v>
      </x:c>
      <x:c r="E6" s="664" t="str">
        <x:v>Equity value transferred to Cognex shareholders; transaction fees are expensed separately</x:v>
      </x:c>
      <x:c r="F6" s="664"/>
      <x:c r="G6" s="538"/>
      <x:c r="H6" s="779" t="str">
        <x:v>Purchase consideration</x:v>
      </x:c>
      <x:c r="I6" s="794" t="n">
        <x:f>B6</x:f>
        <x:v>13457.919999999998</x:v>
      </x:c>
      <x:c r="J6" s="664" t="str">
        <x:v>Cash and stock consideration paid for Cognex equity</x:v>
      </x:c>
      <x:c r="K6" s="664"/>
      <x:c r="L6" s="664"/>
      <x:c r="M6" s="664"/>
      <x:c r="N6" s="664"/>
      <x:c r="O6" s="664"/>
    </x:row>
    <x:row r="7" ht="24" customHeight="1">
      <x:c r="A7" s="779" t="str">
        <x:v>Target shareholders’ equity</x:v>
      </x:c>
      <x:c r="B7" s="744" t="n">
        <x:v>1629.555</x:v>
      </x:c>
      <x:c r="C7" s="436" t="str">
        <x:v>$mm</x:v>
      </x:c>
      <x:c r="D7" s="436" t="str">
        <x:v>S-052</x:v>
      </x:c>
      <x:c r="E7" s="664" t="str">
        <x:v>Unaudited July 5, 2026 balance-sheet carrying value</x:v>
      </x:c>
      <x:c r="F7" s="664"/>
      <x:c r="G7" s="538"/>
      <x:c r="H7" s="779" t="str">
        <x:v>Tangible book value</x:v>
      </x:c>
      <x:c r="I7" s="744" t="n">
        <x:f>B10</x:f>
        <x:v>1183.7060000000001</x:v>
      </x:c>
      <x:c r="J7" s="664" t="str">
        <x:v>Target book equity excluding historical goodwill and intangibles</x:v>
      </x:c>
      <x:c r="K7" s="664"/>
      <x:c r="L7" s="664"/>
      <x:c r="M7" s="664"/>
      <x:c r="N7" s="664"/>
      <x:c r="O7" s="664"/>
    </x:row>
    <x:row r="8" ht="24" customHeight="1">
      <x:c r="A8" s="779" t="str">
        <x:v>Less: existing goodwill</x:v>
      </x:c>
      <x:c r="B8" s="744" t="n">
        <x:v>381.385</x:v>
      </x:c>
      <x:c r="C8" s="436" t="str">
        <x:v>$mm</x:v>
      </x:c>
      <x:c r="D8" s="436" t="str">
        <x:v>S-052</x:v>
      </x:c>
      <x:c r="E8" s="664" t="str">
        <x:v>Historical acquisition goodwill is removed before establishing new acquisition goodwill</x:v>
      </x:c>
      <x:c r="F8" s="664"/>
      <x:c r="G8" s="538"/>
      <x:c r="H8" s="779" t="str">
        <x:v>Customer-related intangibles</x:v>
      </x:c>
      <x:c r="I8" s="744" t="n">
        <x:f>C18</x:f>
        <x:v>2960.7423999999996</x:v>
      </x:c>
      <x:c r="J8" s="664" t="str">
        <x:v>Fair value of customer relationships</x:v>
      </x:c>
      <x:c r="K8" s="664"/>
      <x:c r="L8" s="664"/>
      <x:c r="M8" s="664"/>
      <x:c r="N8" s="664"/>
      <x:c r="O8" s="664"/>
    </x:row>
    <x:row r="9" ht="24" customHeight="1">
      <x:c r="A9" s="779" t="str">
        <x:v>Less: existing intangible assets</x:v>
      </x:c>
      <x:c r="B9" s="744" t="n">
        <x:v>64.464</x:v>
      </x:c>
      <x:c r="C9" s="436" t="str">
        <x:v>$mm</x:v>
      </x:c>
      <x:c r="D9" s="436" t="str">
        <x:v>S-052</x:v>
      </x:c>
      <x:c r="E9" s="664" t="str">
        <x:v>Historical finite-lived intangibles are replaced by the new fair-value allocation</x:v>
      </x:c>
      <x:c r="F9" s="664"/>
      <x:c r="G9" s="538"/>
      <x:c r="H9" s="779" t="str">
        <x:v>Technology-related intangibles</x:v>
      </x:c>
      <x:c r="I9" s="744" t="n">
        <x:f>C19</x:f>
        <x:v>1614.9503999999997</x:v>
      </x:c>
      <x:c r="J9" s="664" t="str">
        <x:v>Fair value of developed technology</x:v>
      </x:c>
      <x:c r="K9" s="664"/>
      <x:c r="L9" s="664"/>
      <x:c r="M9" s="664"/>
      <x:c r="N9" s="664"/>
      <x:c r="O9" s="664"/>
    </x:row>
    <x:row r="10" ht="24" customHeight="1">
      <x:c r="A10" s="779" t="str">
        <x:v>Tangible book value</x:v>
      </x:c>
      <x:c r="B10" s="744" t="n">
        <x:f>B7-B8-B9</x:f>
        <x:v>1183.7060000000001</x:v>
      </x:c>
      <x:c r="C10" s="436" t="str">
        <x:v>$mm</x:v>
      </x:c>
      <x:c r="D10" s="436" t="str">
        <x:v>Calculated</x:v>
      </x:c>
      <x:c r="E10" s="664" t="str">
        <x:v>Book equity less existing goodwill and intangibles</x:v>
      </x:c>
      <x:c r="F10" s="664"/>
      <x:c r="G10" s="538"/>
      <x:c r="H10" s="779" t="str">
        <x:v>Trade names</x:v>
      </x:c>
      <x:c r="I10" s="744" t="n">
        <x:f>C20</x:f>
        <x:v>403.73759999999993</x:v>
      </x:c>
      <x:c r="J10" s="664" t="str">
        <x:v>Fair value of trade names</x:v>
      </x:c>
      <x:c r="K10" s="664"/>
      <x:c r="L10" s="664"/>
      <x:c r="M10" s="664"/>
      <x:c r="N10" s="664"/>
      <x:c r="O10" s="664"/>
    </x:row>
    <x:row r="11" ht="24" customHeight="1">
      <x:c r="A11" s="779" t="str">
        <x:v>Tax rate</x:v>
      </x:c>
      <x:c r="B11" s="795" t="n">
        <x:v>0.21</x:v>
      </x:c>
      <x:c r="C11" s="436" t="str">
        <x:v>%</x:v>
      </x:c>
      <x:c r="D11" s="436" t="str">
        <x:v>Analyst assumption</x:v>
      </x:c>
      <x:c r="E11" s="664" t="str">
        <x:v>Illustrative statutory tax rate applied to fair-value step-ups</x:v>
      </x:c>
      <x:c r="F11" s="664"/>
      <x:c r="G11" s="538"/>
      <x:c r="H11" s="779" t="str">
        <x:v>Order backlog</x:v>
      </x:c>
      <x:c r="I11" s="744" t="n">
        <x:f>C21</x:f>
        <x:v>134.5792</x:v>
      </x:c>
      <x:c r="J11" s="664" t="str">
        <x:v>Fair value of acquired backlog</x:v>
      </x:c>
      <x:c r="K11" s="664"/>
      <x:c r="L11" s="664"/>
      <x:c r="M11" s="664"/>
      <x:c r="N11" s="664"/>
      <x:c r="O11" s="664"/>
    </x:row>
    <x:row r="12" ht="24" customHeight="1">
      <x:c r="A12" s="779" t="str">
        <x:v>Months per year</x:v>
      </x:c>
      <x:c r="B12" s="796" t="n">
        <x:v>12</x:v>
      </x:c>
      <x:c r="C12" s="436" t="str">
        <x:v>months</x:v>
      </x:c>
      <x:c r="D12" s="436" t="str">
        <x:v>Model convention</x:v>
      </x:c>
      <x:c r="E12" s="664" t="str">
        <x:v>Used to calculate straight-line expense by ownership period</x:v>
      </x:c>
      <x:c r="F12" s="664"/>
      <x:c r="G12" s="538"/>
      <x:c r="H12" s="779" t="str">
        <x:v>Inventory step-up</x:v>
      </x:c>
      <x:c r="I12" s="744" t="n">
        <x:f>C22</x:f>
        <x:v>67.2896</x:v>
      </x:c>
      <x:c r="J12" s="664" t="str">
        <x:v>Temporary fair-value uplift to inventory</x:v>
      </x:c>
      <x:c r="K12" s="664"/>
      <x:c r="L12" s="664"/>
      <x:c r="M12" s="664"/>
      <x:c r="N12" s="664"/>
      <x:c r="O12" s="664"/>
    </x:row>
    <x:row r="13" ht="24" customHeight="1">
      <x:c r="A13" s="779" t="str">
        <x:v>First fiscal-year ownership</x:v>
      </x:c>
      <x:c r="B13" s="796" t="n">
        <x:v>6</x:v>
      </x:c>
      <x:c r="C13" s="436" t="str">
        <x:v>months</x:v>
      </x:c>
      <x:c r="D13" s="436" t="str">
        <x:v>Analyst convention</x:v>
      </x:c>
      <x:c r="E13" s="664" t="str">
        <x:v>Six months from the March 31 close to Rockwell’s September 30 fiscal year-end</x:v>
      </x:c>
      <x:c r="F13" s="664"/>
      <x:c r="G13" s="538"/>
      <x:c r="H13" s="779" t="str">
        <x:v>PP&amp;E step-up</x:v>
      </x:c>
      <x:c r="I13" s="744" t="n">
        <x:f>C23</x:f>
        <x:v>67.2896</x:v>
      </x:c>
      <x:c r="J13" s="664" t="str">
        <x:v>Fair-value uplift to property and equipment</x:v>
      </x:c>
      <x:c r="K13" s="664"/>
      <x:c r="L13" s="664"/>
      <x:c r="M13" s="664"/>
      <x:c r="N13" s="664"/>
      <x:c r="O13" s="664"/>
    </x:row>
    <x:row r="14" ht="24" customHeight="1">
      <x:c r="A14" s="779" t="str">
        <x:v>Illustrative close date</x:v>
      </x:c>
      <x:c r="B14" s="797" t="n">
        <x:f>'Sources &amp; Uses'!B18</x:f>
        <x:v>46477</x:v>
      </x:c>
      <x:c r="C14" s="436" t="str">
        <x:v>date</x:v>
      </x:c>
      <x:c r="D14" s="436" t="str">
        <x:v>Sources &amp; Uses</x:v>
      </x:c>
      <x:c r="E14" s="664" t="str">
        <x:v>Links to the financing schedule</x:v>
      </x:c>
      <x:c r="F14" s="664"/>
      <x:c r="G14" s="538"/>
      <x:c r="H14" s="779" t="str">
        <x:v>Gross fair-value write-ups</x:v>
      </x:c>
      <x:c r="I14" s="744" t="n">
        <x:f>SUM(I8:I13)</x:f>
        <x:v>5248.5887999999995</x:v>
      </x:c>
      <x:c r="J14" s="664" t="str">
        <x:v>Total identifiable asset write-ups</x:v>
      </x:c>
      <x:c r="K14" s="664"/>
      <x:c r="L14" s="664"/>
      <x:c r="M14" s="664"/>
      <x:c r="N14" s="664"/>
      <x:c r="O14" s="664"/>
    </x:row>
    <x:row r="15" ht="24" customHeight="1">
      <x:c r="A15" s="538"/>
      <x:c r="B15" s="538"/>
      <x:c r="C15" s="538"/>
      <x:c r="D15" s="538"/>
      <x:c r="E15" s="538"/>
      <x:c r="F15" s="538"/>
      <x:c r="G15" s="538"/>
      <x:c r="H15" s="779" t="str">
        <x:v>Incremental deferred tax liability</x:v>
      </x:c>
      <x:c r="I15" s="744" t="n">
        <x:f>I14*$B$11</x:f>
        <x:v>1102.203648</x:v>
      </x:c>
      <x:c r="J15" s="664" t="str">
        <x:v>Assumes tax basis does not step up; increases goodwill</x:v>
      </x:c>
      <x:c r="K15" s="664"/>
      <x:c r="L15" s="664"/>
      <x:c r="M15" s="664"/>
      <x:c r="N15" s="664"/>
      <x:c r="O15" s="664"/>
    </x:row>
    <x:row r="16" ht="24" customHeight="1">
      <x:c r="A16" s="777" t="str">
        <x:v>FAIR-VALUE ALLOCATION ASSUMPTIONS</x:v>
      </x:c>
      <x:c r="B16" s="777"/>
      <x:c r="C16" s="777"/>
      <x:c r="D16" s="777"/>
      <x:c r="E16" s="777"/>
      <x:c r="F16" s="777"/>
      <x:c r="G16" s="538"/>
      <x:c r="H16" s="779" t="str">
        <x:v>Net identifiable assets</x:v>
      </x:c>
      <x:c r="I16" s="744" t="n">
        <x:f>I7+I14-I15</x:f>
        <x:v>5330.091152</x:v>
      </x:c>
      <x:c r="J16" s="664" t="str">
        <x:v>Tangible book value plus write-ups less deferred tax liability</x:v>
      </x:c>
      <x:c r="K16" s="664"/>
      <x:c r="L16" s="664"/>
      <x:c r="M16" s="664"/>
      <x:c r="N16" s="664"/>
      <x:c r="O16" s="664"/>
    </x:row>
    <x:row r="17" ht="24" customHeight="1">
      <x:c r="A17" s="782" t="str">
        <x:v>Asset</x:v>
      </x:c>
      <x:c r="B17" s="782" t="str">
        <x:v>% of consideration</x:v>
      </x:c>
      <x:c r="C17" s="782" t="str">
        <x:v>Fair value</x:v>
      </x:c>
      <x:c r="D17" s="782" t="str">
        <x:v>Useful life</x:v>
      </x:c>
      <x:c r="E17" s="782" t="str">
        <x:v>Annual expense</x:v>
      </x:c>
      <x:c r="F17" s="809" t="str">
        <x:v>Rationale</x:v>
      </x:c>
      <x:c r="G17" s="538"/>
      <x:c r="H17" s="779" t="str">
        <x:v>New goodwill</x:v>
      </x:c>
      <x:c r="I17" s="801" t="n">
        <x:f>I6-I16</x:f>
        <x:v>8127.828847999998</x:v>
      </x:c>
      <x:c r="J17" s="664" t="str">
        <x:v>Residual consideration not assigned to identifiable net assets</x:v>
      </x:c>
      <x:c r="K17" s="664"/>
      <x:c r="L17" s="664"/>
      <x:c r="M17" s="664"/>
      <x:c r="N17" s="664"/>
      <x:c r="O17" s="664"/>
    </x:row>
    <x:row r="18" ht="24" customHeight="1">
      <x:c r="A18" s="779" t="str">
        <x:v>Customer relationships</x:v>
      </x:c>
      <x:c r="B18" s="795" t="n">
        <x:v>0.22</x:v>
      </x:c>
      <x:c r="C18" s="744" t="n">
        <x:f>$B$6*B18</x:f>
        <x:v>2960.7423999999996</x:v>
      </x:c>
      <x:c r="D18" s="800" t="n">
        <x:v>15</x:v>
      </x:c>
      <x:c r="E18" s="744" t="n">
        <x:f>C18/D18</x:f>
        <x:v>197.38282666666663</x:v>
      </x:c>
      <x:c r="F18" s="664" t="str">
        <x:v>Recurring installed-base relationships and channel access</x:v>
      </x:c>
      <x:c r="G18" s="538"/>
      <x:c r="H18" s="779" t="str">
        <x:v>Goodwill / consideration</x:v>
      </x:c>
      <x:c r="I18" s="802" t="n">
        <x:f>I17/I6</x:f>
        <x:v>0.6039439116891763</x:v>
      </x:c>
      <x:c r="J18" s="664" t="str">
        <x:v>High goodwill share reflects strategic value and the elevated offer multiple</x:v>
      </x:c>
      <x:c r="K18" s="664"/>
      <x:c r="L18" s="664"/>
      <x:c r="M18" s="664"/>
      <x:c r="N18" s="664"/>
      <x:c r="O18" s="664"/>
    </x:row>
    <x:row r="19" ht="24" customHeight="1">
      <x:c r="A19" s="779" t="str">
        <x:v>Developed technology</x:v>
      </x:c>
      <x:c r="B19" s="795" t="n">
        <x:v>0.12</x:v>
      </x:c>
      <x:c r="C19" s="744" t="n">
        <x:f>$B$6*B19</x:f>
        <x:v>1614.9503999999997</x:v>
      </x:c>
      <x:c r="D19" s="800" t="n">
        <x:v>7</x:v>
      </x:c>
      <x:c r="E19" s="744" t="n">
        <x:f>C19/D19</x:f>
        <x:v>230.70719999999997</x:v>
      </x:c>
      <x:c r="F19" s="664" t="str">
        <x:v>Machine-vision software, algorithms, and product technology</x:v>
      </x:c>
      <x:c r="G19" s="538"/>
      <x:c r="H19" s="538"/>
      <x:c r="I19" s="538"/>
      <x:c r="J19" s="554"/>
      <x:c r="K19" s="554"/>
      <x:c r="L19" s="554"/>
      <x:c r="M19" s="554"/>
      <x:c r="N19" s="554"/>
      <x:c r="O19" s="554"/>
    </x:row>
    <x:row r="20" ht="24" customHeight="1">
      <x:c r="A20" s="779" t="str">
        <x:v>Trade names</x:v>
      </x:c>
      <x:c r="B20" s="795" t="n">
        <x:v>0.03</x:v>
      </x:c>
      <x:c r="C20" s="744" t="n">
        <x:f>$B$6*B20</x:f>
        <x:v>403.73759999999993</x:v>
      </x:c>
      <x:c r="D20" s="800" t="n">
        <x:v>15</x:v>
      </x:c>
      <x:c r="E20" s="744" t="n">
        <x:f>C20/D20</x:f>
        <x:v>26.915839999999996</x:v>
      </x:c>
      <x:c r="F20" s="664" t="str">
        <x:v>Cognex brand and product-family names</x:v>
      </x:c>
      <x:c r="G20" s="538"/>
      <x:c r="H20" s="777" t="str">
        <x:v>KEY OUTPUTS</x:v>
      </x:c>
      <x:c r="I20" s="777"/>
      <x:c r="J20" s="810"/>
      <x:c r="K20" s="810"/>
      <x:c r="L20" s="810"/>
      <x:c r="M20" s="810"/>
      <x:c r="N20" s="810"/>
      <x:c r="O20" s="810"/>
    </x:row>
    <x:row r="21" ht="24" customHeight="1">
      <x:c r="A21" s="779" t="str">
        <x:v>Order backlog</x:v>
      </x:c>
      <x:c r="B21" s="795" t="n">
        <x:v>0.01</x:v>
      </x:c>
      <x:c r="C21" s="744" t="n">
        <x:f>$B$6*B21</x:f>
        <x:v>134.5792</x:v>
      </x:c>
      <x:c r="D21" s="800" t="n">
        <x:v>2</x:v>
      </x:c>
      <x:c r="E21" s="744" t="n">
        <x:f>C21/D21</x:f>
        <x:v>67.2896</x:v>
      </x:c>
      <x:c r="F21" s="664" t="str">
        <x:v>Existing contracted or expected customer orders</x:v>
      </x:c>
      <x:c r="G21" s="538"/>
      <x:c r="H21" s="779" t="str">
        <x:v>New goodwill</x:v>
      </x:c>
      <x:c r="I21" s="801" t="n">
        <x:f>I17</x:f>
        <x:v>8127.828847999998</x:v>
      </x:c>
      <x:c r="J21" s="664" t="str">
        <x:v>Not amortized; tested for impairment</x:v>
      </x:c>
      <x:c r="K21" s="664"/>
      <x:c r="L21" s="664"/>
      <x:c r="M21" s="664"/>
      <x:c r="N21" s="664"/>
      <x:c r="O21" s="664"/>
    </x:row>
    <x:row r="22" ht="24" customHeight="1">
      <x:c r="A22" s="779" t="str">
        <x:v>Inventory step-up</x:v>
      </x:c>
      <x:c r="B22" s="795" t="n">
        <x:v>0.005</x:v>
      </x:c>
      <x:c r="C22" s="744" t="n">
        <x:f>$B$6*B22</x:f>
        <x:v>67.2896</x:v>
      </x:c>
      <x:c r="D22" s="800" t="n">
        <x:v>1</x:v>
      </x:c>
      <x:c r="E22" s="744" t="n">
        <x:f>C22/D22</x:f>
        <x:v>67.2896</x:v>
      </x:c>
      <x:c r="F22" s="664" t="str">
        <x:v>Fair-value uplift recognized through cost of sales</x:v>
      </x:c>
      <x:c r="G22" s="538"/>
      <x:c r="H22" s="779" t="str">
        <x:v>Total identifiable intangibles</x:v>
      </x:c>
      <x:c r="I22" s="801" t="n">
        <x:f>SUM(C18:C21)</x:f>
        <x:v>5114.009599999999</x:v>
      </x:c>
      <x:c r="J22" s="664" t="str">
        <x:v>Finite-lived customer, technology, trade-name, and backlog assets</x:v>
      </x:c>
      <x:c r="K22" s="664"/>
      <x:c r="L22" s="664"/>
      <x:c r="M22" s="664"/>
      <x:c r="N22" s="664"/>
      <x:c r="O22" s="664"/>
    </x:row>
    <x:row r="23" ht="24" customHeight="1">
      <x:c r="A23" s="779" t="str">
        <x:v>PP&amp;E step-up</x:v>
      </x:c>
      <x:c r="B23" s="795" t="n">
        <x:v>0.005</x:v>
      </x:c>
      <x:c r="C23" s="744" t="n">
        <x:f>$B$6*B23</x:f>
        <x:v>67.2896</x:v>
      </x:c>
      <x:c r="D23" s="800" t="n">
        <x:v>10</x:v>
      </x:c>
      <x:c r="E23" s="744" t="n">
        <x:f>C23/D23</x:f>
        <x:v>6.728959999999999</x:v>
      </x:c>
      <x:c r="F23" s="664" t="str">
        <x:v>Fair-value uplift recognized through depreciation</x:v>
      </x:c>
      <x:c r="G23" s="538"/>
      <x:c r="H23" s="779" t="str">
        <x:v>Initial deferred tax liability</x:v>
      </x:c>
      <x:c r="I23" s="801" t="n">
        <x:f>I15</x:f>
        <x:v>1102.203648</x:v>
      </x:c>
      <x:c r="J23" s="664" t="str">
        <x:v>Reverses as the associated book-basis assets are expensed</x:v>
      </x:c>
      <x:c r="K23" s="664"/>
      <x:c r="L23" s="664"/>
      <x:c r="M23" s="664"/>
      <x:c r="N23" s="664"/>
      <x:c r="O23" s="664"/>
    </x:row>
    <x:row r="24" ht="24" customHeight="1">
      <x:c r="A24" s="784" t="str">
        <x:v>Total allocation</x:v>
      </x:c>
      <x:c r="B24" s="798" t="n">
        <x:f>SUM(B18:B23)</x:f>
        <x:v>0.39</x:v>
      </x:c>
      <x:c r="C24" s="799" t="n">
        <x:f>SUM(C18:C23)</x:f>
        <x:v>5248.5887999999995</x:v>
      </x:c>
      <x:c r="D24" s="726"/>
      <x:c r="E24" s="799" t="n">
        <x:f>SUM(E18:E23)</x:f>
        <x:v>596.3140266666666</x:v>
      </x:c>
      <x:c r="F24" s="723" t="str">
        <x:v>Excludes goodwill, which is calculated as the residual</x:v>
      </x:c>
      <x:c r="G24" s="538"/>
      <x:c r="H24" s="779" t="str">
        <x:v>Annualized intangible amortization</x:v>
      </x:c>
      <x:c r="I24" s="801" t="n">
        <x:f>SUM(E18:E21)</x:f>
        <x:v>522.2954666666666</x:v>
      </x:c>
      <x:c r="J24" s="664" t="str">
        <x:v>Full-year run-rate before the closing-date convention</x:v>
      </x:c>
      <x:c r="K24" s="664"/>
      <x:c r="L24" s="664"/>
      <x:c r="M24" s="664"/>
      <x:c r="N24" s="664"/>
      <x:c r="O24" s="664"/>
    </x:row>
    <x:row r="25" ht="24" customHeight="1">
      <x:c r="A25" s="538"/>
      <x:c r="B25" s="538"/>
      <x:c r="C25" s="538"/>
      <x:c r="D25" s="538"/>
      <x:c r="E25" s="538"/>
      <x:c r="F25" s="538"/>
      <x:c r="G25" s="538"/>
      <x:c r="H25" s="779" t="str">
        <x:v>Annualized PP&amp;E depreciation</x:v>
      </x:c>
      <x:c r="I25" s="801" t="n">
        <x:f>E23</x:f>
        <x:v>6.728959999999999</x:v>
      </x:c>
      <x:c r="J25" s="664" t="str">
        <x:v>Full-year run-rate</x:v>
      </x:c>
      <x:c r="K25" s="664"/>
      <x:c r="L25" s="664"/>
      <x:c r="M25" s="664"/>
      <x:c r="N25" s="664"/>
      <x:c r="O25" s="664"/>
    </x:row>
    <x:row r="26" ht="24" customHeight="1">
      <x:c r="A26" s="538"/>
      <x:c r="B26" s="538"/>
      <x:c r="C26" s="538"/>
      <x:c r="D26" s="538"/>
      <x:c r="E26" s="538"/>
      <x:c r="F26" s="538"/>
      <x:c r="G26" s="538"/>
      <x:c r="H26" s="779" t="str">
        <x:v>Annualized inventory step-up expense</x:v>
      </x:c>
      <x:c r="I26" s="801" t="n">
        <x:f>E22</x:f>
        <x:v>67.2896</x:v>
      </x:c>
      <x:c r="J26" s="664" t="str">
        <x:v>Full-year run-rate; realized through cost of sales</x:v>
      </x:c>
      <x:c r="K26" s="664"/>
      <x:c r="L26" s="664"/>
      <x:c r="M26" s="664"/>
      <x:c r="N26" s="664"/>
      <x:c r="O26" s="664"/>
    </x:row>
    <x:row r="27" ht="24" customHeight="1">
      <x:c r="A27" s="538"/>
      <x:c r="B27" s="538"/>
      <x:c r="C27" s="538"/>
      <x:c r="D27" s="538"/>
      <x:c r="E27" s="538"/>
      <x:c r="F27" s="538"/>
      <x:c r="G27" s="538"/>
      <x:c r="H27" s="779" t="str">
        <x:v>First-year after-tax PPA expense</x:v>
      </x:c>
      <x:c r="I27" s="801" t="n">
        <x:f>B43</x:f>
        <x:v>235.5440405333333</x:v>
      </x:c>
      <x:c r="J27" s="664" t="str">
        <x:v>Six-month FY2027E impact after the modeled tax benefit</x:v>
      </x:c>
      <x:c r="K27" s="664"/>
      <x:c r="L27" s="664"/>
      <x:c r="M27" s="664"/>
      <x:c r="N27" s="664"/>
      <x:c r="O27" s="664"/>
    </x:row>
    <x:row r="28" ht="18" customHeight="1">
      <x:c r="A28" s="538"/>
      <x:c r="B28" s="538"/>
      <x:c r="C28" s="538"/>
      <x:c r="D28" s="538"/>
      <x:c r="E28" s="538"/>
      <x:c r="F28" s="538"/>
      <x:c r="G28" s="538"/>
      <x:c r="H28" s="538"/>
      <x:c r="I28" s="538"/>
      <x:c r="J28" s="538"/>
      <x:c r="K28" s="538"/>
      <x:c r="L28" s="538"/>
      <x:c r="M28" s="538"/>
      <x:c r="N28" s="538"/>
      <x:c r="O28" s="538"/>
    </x:row>
    <x:row r="29" ht="18" customHeight="1">
      <x:c r="A29" s="777" t="str">
        <x:v>INCREMENTAL NON-CASH EXPENSE SCHEDULE</x:v>
      </x:c>
      <x:c r="B29" s="777"/>
      <x:c r="C29" s="777"/>
      <x:c r="D29" s="777"/>
      <x:c r="E29" s="777"/>
      <x:c r="F29" s="777"/>
      <x:c r="G29" s="777"/>
      <x:c r="H29" s="777"/>
      <x:c r="I29" s="777"/>
      <x:c r="J29" s="777"/>
      <x:c r="K29" s="777"/>
      <x:c r="L29" s="777"/>
      <x:c r="M29" s="777"/>
      <x:c r="N29" s="777"/>
      <x:c r="O29" s="777"/>
    </x:row>
    <x:row r="30" ht="18" customHeight="1">
      <x:c r="A30" s="779" t="str">
        <x:v>Fiscal year ended</x:v>
      </x:c>
      <x:c r="B30" s="803" t="n">
        <x:f>DATE(YEAR($B$14),9,30)</x:f>
        <x:v>46660</x:v>
      </x:c>
      <x:c r="C30" s="803" t="n">
        <x:f>DATE(YEAR(B30)+1,9,30)</x:f>
        <x:v>47026</x:v>
      </x:c>
      <x:c r="D30" s="803" t="n">
        <x:f>DATE(YEAR(C30)+1,9,30)</x:f>
        <x:v>47391</x:v>
      </x:c>
      <x:c r="E30" s="803" t="n">
        <x:f>DATE(YEAR(D30)+1,9,30)</x:f>
        <x:v>47756</x:v>
      </x:c>
      <x:c r="F30" s="803" t="n">
        <x:f>DATE(YEAR(E30)+1,9,30)</x:f>
        <x:v>48121</x:v>
      </x:c>
      <x:c r="G30" s="664" t="str">
        <x:v>Calculation</x:v>
      </x:c>
      <x:c r="H30" s="538"/>
      <x:c r="I30" s="538"/>
      <x:c r="J30" s="538"/>
      <x:c r="K30" s="538"/>
      <x:c r="L30" s="538"/>
      <x:c r="M30" s="538"/>
      <x:c r="N30" s="538"/>
      <x:c r="O30" s="538"/>
    </x:row>
    <x:row r="31" ht="18" customHeight="1">
      <x:c r="A31" s="779" t="str">
        <x:v>Months owned</x:v>
      </x:c>
      <x:c r="B31" s="804" t="n">
        <x:f>$B$13</x:f>
        <x:v>6</x:v>
      </x:c>
      <x:c r="C31" s="804" t="n">
        <x:v>12</x:v>
      </x:c>
      <x:c r="D31" s="804" t="n">
        <x:v>12</x:v>
      </x:c>
      <x:c r="E31" s="804" t="n">
        <x:v>12</x:v>
      </x:c>
      <x:c r="F31" s="804" t="n">
        <x:v>12</x:v>
      </x:c>
      <x:c r="G31" s="664" t="str">
        <x:v>Close-date convention</x:v>
      </x:c>
      <x:c r="H31" s="538"/>
      <x:c r="I31" s="538"/>
      <x:c r="J31" s="538"/>
      <x:c r="K31" s="538"/>
      <x:c r="L31" s="538"/>
      <x:c r="M31" s="538"/>
      <x:c r="N31" s="538"/>
      <x:c r="O31" s="538"/>
    </x:row>
    <x:row r="32" ht="18" customHeight="1">
      <x:c r="A32" s="779" t="str">
        <x:v>Cumulative months owned</x:v>
      </x:c>
      <x:c r="B32" s="804" t="n">
        <x:f>B31</x:f>
        <x:v>6</x:v>
      </x:c>
      <x:c r="C32" s="804" t="n">
        <x:f>B32+C31</x:f>
        <x:v>18</x:v>
      </x:c>
      <x:c r="D32" s="804" t="n">
        <x:f>C32+D31</x:f>
        <x:v>30</x:v>
      </x:c>
      <x:c r="E32" s="804" t="n">
        <x:f>D32+E31</x:f>
        <x:v>42</x:v>
      </x:c>
      <x:c r="F32" s="804" t="n">
        <x:f>E32+F31</x:f>
        <x:v>54</x:v>
      </x:c>
      <x:c r="G32" s="664" t="str">
        <x:v>Used to stop expense at end of useful life</x:v>
      </x:c>
      <x:c r="H32" s="538"/>
      <x:c r="I32" s="538"/>
      <x:c r="J32" s="538"/>
      <x:c r="K32" s="538"/>
      <x:c r="L32" s="538"/>
      <x:c r="M32" s="538"/>
      <x:c r="N32" s="538"/>
      <x:c r="O32" s="538"/>
    </x:row>
    <x:row r="33" ht="18" customHeight="1">
      <x:c r="A33" s="779"/>
      <x:c r="B33" s="436"/>
      <x:c r="C33" s="436"/>
      <x:c r="D33" s="436"/>
      <x:c r="E33" s="436"/>
      <x:c r="F33" s="436"/>
      <x:c r="G33" s="664"/>
      <x:c r="H33" s="538"/>
      <x:c r="I33" s="538"/>
      <x:c r="J33" s="538"/>
      <x:c r="K33" s="538"/>
      <x:c r="L33" s="538"/>
      <x:c r="M33" s="538"/>
      <x:c r="N33" s="538"/>
      <x:c r="O33" s="538"/>
    </x:row>
    <x:row r="34" ht="18" customHeight="1">
      <x:c r="A34" s="779" t="str">
        <x:v>Customer relationship amortization</x:v>
      </x:c>
      <x:c r="B34" s="744" t="n">
        <x:f>MIN(B$31,MAX(0,$D18*$B$12-(B$32-B$31)))*$C18/($D18*$B$12)</x:f>
        <x:v>98.69141333333333</x:v>
      </x:c>
      <x:c r="C34" s="744" t="n">
        <x:f>MIN(C$31,MAX(0,$D18*$B$12-(C$32-C$31)))*$C18/($D18*$B$12)</x:f>
        <x:v>197.38282666666666</x:v>
      </x:c>
      <x:c r="D34" s="744" t="n">
        <x:f>MIN(D$31,MAX(0,$D18*$B$12-(D$32-D$31)))*$C18/($D18*$B$12)</x:f>
        <x:v>197.38282666666666</x:v>
      </x:c>
      <x:c r="E34" s="744" t="n">
        <x:f>MIN(E$31,MAX(0,$D18*$B$12-(E$32-E$31)))*$C18/($D18*$B$12)</x:f>
        <x:v>197.38282666666666</x:v>
      </x:c>
      <x:c r="F34" s="744" t="n">
        <x:f>MIN(F$31,MAX(0,$D18*$B$12-(F$32-F$31)))*$C18/($D18*$B$12)</x:f>
        <x:v>197.38282666666666</x:v>
      </x:c>
      <x:c r="G34" s="664" t="str">
        <x:v>Straight-line over 15 years</x:v>
      </x:c>
      <x:c r="H34" s="538"/>
      <x:c r="I34" s="538"/>
      <x:c r="J34" s="538"/>
      <x:c r="K34" s="538"/>
      <x:c r="L34" s="538"/>
      <x:c r="M34" s="538"/>
      <x:c r="N34" s="538"/>
      <x:c r="O34" s="538"/>
    </x:row>
    <x:row r="35" ht="18" customHeight="1">
      <x:c r="A35" s="779" t="str">
        <x:v>Developed technology amortization</x:v>
      </x:c>
      <x:c r="B35" s="744" t="n">
        <x:f>MIN(B$31,MAX(0,$D19*$B$12-(B$32-B$31)))*$C19/($D19*$B$12)</x:f>
        <x:v>115.35359999999999</x:v>
      </x:c>
      <x:c r="C35" s="744" t="n">
        <x:f>MIN(C$31,MAX(0,$D19*$B$12-(C$32-C$31)))*$C19/($D19*$B$12)</x:f>
        <x:v>230.70719999999997</x:v>
      </x:c>
      <x:c r="D35" s="744" t="n">
        <x:f>MIN(D$31,MAX(0,$D19*$B$12-(D$32-D$31)))*$C19/($D19*$B$12)</x:f>
        <x:v>230.70719999999997</x:v>
      </x:c>
      <x:c r="E35" s="744" t="n">
        <x:f>MIN(E$31,MAX(0,$D19*$B$12-(E$32-E$31)))*$C19/($D19*$B$12)</x:f>
        <x:v>230.70719999999997</x:v>
      </x:c>
      <x:c r="F35" s="744" t="n">
        <x:f>MIN(F$31,MAX(0,$D19*$B$12-(F$32-F$31)))*$C19/($D19*$B$12)</x:f>
        <x:v>230.70719999999997</x:v>
      </x:c>
      <x:c r="G35" s="664" t="str">
        <x:v>Straight-line over 7 years</x:v>
      </x:c>
      <x:c r="H35" s="538"/>
      <x:c r="I35" s="538"/>
      <x:c r="J35" s="538"/>
      <x:c r="K35" s="538"/>
      <x:c r="L35" s="538"/>
      <x:c r="M35" s="538"/>
      <x:c r="N35" s="538"/>
      <x:c r="O35" s="538"/>
    </x:row>
    <x:row r="36" ht="18" customHeight="1">
      <x:c r="A36" s="779" t="str">
        <x:v>Trade-name amortization</x:v>
      </x:c>
      <x:c r="B36" s="744" t="n">
        <x:f>MIN(B$31,MAX(0,$D20*$B$12-(B$32-B$31)))*$C20/($D20*$B$12)</x:f>
        <x:v>13.457919999999998</x:v>
      </x:c>
      <x:c r="C36" s="744" t="n">
        <x:f>MIN(C$31,MAX(0,$D20*$B$12-(C$32-C$31)))*$C20/($D20*$B$12)</x:f>
        <x:v>26.915839999999996</x:v>
      </x:c>
      <x:c r="D36" s="744" t="n">
        <x:f>MIN(D$31,MAX(0,$D20*$B$12-(D$32-D$31)))*$C20/($D20*$B$12)</x:f>
        <x:v>26.915839999999996</x:v>
      </x:c>
      <x:c r="E36" s="744" t="n">
        <x:f>MIN(E$31,MAX(0,$D20*$B$12-(E$32-E$31)))*$C20/($D20*$B$12)</x:f>
        <x:v>26.915839999999996</x:v>
      </x:c>
      <x:c r="F36" s="744" t="n">
        <x:f>MIN(F$31,MAX(0,$D20*$B$12-(F$32-F$31)))*$C20/($D20*$B$12)</x:f>
        <x:v>26.915839999999996</x:v>
      </x:c>
      <x:c r="G36" s="664" t="str">
        <x:v>Straight-line over 15 years</x:v>
      </x:c>
      <x:c r="H36" s="538"/>
      <x:c r="I36" s="538"/>
      <x:c r="J36" s="538"/>
      <x:c r="K36" s="538"/>
      <x:c r="L36" s="538"/>
      <x:c r="M36" s="538"/>
      <x:c r="N36" s="538"/>
      <x:c r="O36" s="538"/>
    </x:row>
    <x:row r="37" ht="18" customHeight="1">
      <x:c r="A37" s="779" t="str">
        <x:v>Backlog amortization</x:v>
      </x:c>
      <x:c r="B37" s="744" t="n">
        <x:f>MIN(B$31,MAX(0,$D21*$B$12-(B$32-B$31)))*$C21/($D21*$B$12)</x:f>
        <x:v>33.6448</x:v>
      </x:c>
      <x:c r="C37" s="744" t="n">
        <x:f>MIN(C$31,MAX(0,$D21*$B$12-(C$32-C$31)))*$C21/($D21*$B$12)</x:f>
        <x:v>67.2896</x:v>
      </x:c>
      <x:c r="D37" s="744" t="n">
        <x:f>MIN(D$31,MAX(0,$D21*$B$12-(D$32-D$31)))*$C21/($D21*$B$12)</x:f>
        <x:v>33.6448</x:v>
      </x:c>
      <x:c r="E37" s="744" t="n">
        <x:f>MIN(E$31,MAX(0,$D21*$B$12-(E$32-E$31)))*$C21/($D21*$B$12)</x:f>
        <x:v>0</x:v>
      </x:c>
      <x:c r="F37" s="744" t="n">
        <x:f>MIN(F$31,MAX(0,$D21*$B$12-(F$32-F$31)))*$C21/($D21*$B$12)</x:f>
        <x:v>0</x:v>
      </x:c>
      <x:c r="G37" s="664" t="str">
        <x:v>Straight-line over 2 years</x:v>
      </x:c>
      <x:c r="H37" s="538"/>
      <x:c r="I37" s="538"/>
      <x:c r="J37" s="538"/>
      <x:c r="K37" s="538"/>
      <x:c r="L37" s="538"/>
      <x:c r="M37" s="538"/>
      <x:c r="N37" s="538"/>
      <x:c r="O37" s="538"/>
    </x:row>
    <x:row r="38" ht="18" customHeight="1">
      <x:c r="A38" s="779" t="str">
        <x:v>Inventory step-up expense</x:v>
      </x:c>
      <x:c r="B38" s="744" t="n">
        <x:f>MIN(B$31,MAX(0,$D22*$B$12-(B$32-B$31)))*$C22/($D22*$B$12)</x:f>
        <x:v>33.6448</x:v>
      </x:c>
      <x:c r="C38" s="744" t="n">
        <x:f>MIN(C$31,MAX(0,$D22*$B$12-(C$32-C$31)))*$C22/($D22*$B$12)</x:f>
        <x:v>33.6448</x:v>
      </x:c>
      <x:c r="D38" s="744" t="n">
        <x:f>MIN(D$31,MAX(0,$D22*$B$12-(D$32-D$31)))*$C22/($D22*$B$12)</x:f>
        <x:v>0</x:v>
      </x:c>
      <x:c r="E38" s="744" t="n">
        <x:f>MIN(E$31,MAX(0,$D22*$B$12-(E$32-E$31)))*$C22/($D22*$B$12)</x:f>
        <x:v>0</x:v>
      </x:c>
      <x:c r="F38" s="744" t="n">
        <x:f>MIN(F$31,MAX(0,$D22*$B$12-(F$32-F$31)))*$C22/($D22*$B$12)</x:f>
        <x:v>0</x:v>
      </x:c>
      <x:c r="G38" s="664" t="str">
        <x:v>Recognized over 1 year</x:v>
      </x:c>
      <x:c r="H38" s="538"/>
      <x:c r="I38" s="538"/>
      <x:c r="J38" s="538"/>
      <x:c r="K38" s="538"/>
      <x:c r="L38" s="538"/>
      <x:c r="M38" s="538"/>
      <x:c r="N38" s="538"/>
      <x:c r="O38" s="538"/>
    </x:row>
    <x:row r="39" ht="18" customHeight="1">
      <x:c r="A39" s="779" t="str">
        <x:v>Incremental PP&amp;E depreciation</x:v>
      </x:c>
      <x:c r="B39" s="744" t="n">
        <x:f>MIN(B$31,MAX(0,$D23*$B$12-(B$32-B$31)))*$C23/($D23*$B$12)</x:f>
        <x:v>3.3644799999999995</x:v>
      </x:c>
      <x:c r="C39" s="744" t="n">
        <x:f>MIN(C$31,MAX(0,$D23*$B$12-(C$32-C$31)))*$C23/($D23*$B$12)</x:f>
        <x:v>6.728959999999999</x:v>
      </x:c>
      <x:c r="D39" s="744" t="n">
        <x:f>MIN(D$31,MAX(0,$D23*$B$12-(D$32-D$31)))*$C23/($D23*$B$12)</x:f>
        <x:v>6.728959999999999</x:v>
      </x:c>
      <x:c r="E39" s="744" t="n">
        <x:f>MIN(E$31,MAX(0,$D23*$B$12-(E$32-E$31)))*$C23/($D23*$B$12)</x:f>
        <x:v>6.728959999999999</x:v>
      </x:c>
      <x:c r="F39" s="744" t="n">
        <x:f>MIN(F$31,MAX(0,$D23*$B$12-(F$32-F$31)))*$C23/($D23*$B$12)</x:f>
        <x:v>6.728959999999999</x:v>
      </x:c>
      <x:c r="G39" s="664" t="str">
        <x:v>Straight-line over 10 years</x:v>
      </x:c>
      <x:c r="H39" s="538"/>
      <x:c r="I39" s="538"/>
      <x:c r="J39" s="538"/>
      <x:c r="K39" s="538"/>
      <x:c r="L39" s="538"/>
      <x:c r="M39" s="538"/>
      <x:c r="N39" s="538"/>
      <x:c r="O39" s="538"/>
    </x:row>
    <x:row r="40" ht="18" customHeight="1">
      <x:c r="A40" s="779"/>
      <x:c r="B40" s="744"/>
      <x:c r="C40" s="744"/>
      <x:c r="D40" s="744"/>
      <x:c r="E40" s="744"/>
      <x:c r="F40" s="744"/>
      <x:c r="G40" s="664"/>
      <x:c r="H40" s="538"/>
      <x:c r="I40" s="538"/>
      <x:c r="J40" s="538"/>
      <x:c r="K40" s="538"/>
      <x:c r="L40" s="538"/>
      <x:c r="M40" s="538"/>
      <x:c r="N40" s="538"/>
      <x:c r="O40" s="538"/>
    </x:row>
    <x:row r="41" ht="18" customHeight="1">
      <x:c r="A41" s="779" t="str">
        <x:v>Total incremental PPA expense</x:v>
      </x:c>
      <x:c r="B41" s="744" t="n">
        <x:f>SUM(B34:B39)</x:f>
        <x:v>298.1570133333333</x:v>
      </x:c>
      <x:c r="C41" s="744" t="n">
        <x:f>SUM(C34:C39)</x:f>
        <x:v>562.6692266666666</x:v>
      </x:c>
      <x:c r="D41" s="744" t="n">
        <x:f>SUM(D34:D39)</x:f>
        <x:v>495.3796266666666</x:v>
      </x:c>
      <x:c r="E41" s="744" t="n">
        <x:f>SUM(E34:E39)</x:f>
        <x:v>461.7348266666666</x:v>
      </x:c>
      <x:c r="F41" s="744" t="n">
        <x:f>SUM(F34:F39)</x:f>
        <x:v>461.7348266666666</x:v>
      </x:c>
      <x:c r="G41" s="664"/>
      <x:c r="H41" s="538"/>
      <x:c r="I41" s="538"/>
      <x:c r="J41" s="538"/>
      <x:c r="K41" s="538"/>
      <x:c r="L41" s="538"/>
      <x:c r="M41" s="538"/>
      <x:c r="N41" s="538"/>
      <x:c r="O41" s="538"/>
    </x:row>
    <x:row r="42" ht="18" customHeight="1">
      <x:c r="A42" s="779" t="str">
        <x:v>Deferred tax benefit</x:v>
      </x:c>
      <x:c r="B42" s="744" t="n">
        <x:f>B41*$B$11</x:f>
        <x:v>62.61297279999999</x:v>
      </x:c>
      <x:c r="C42" s="744" t="n">
        <x:f>C41*$B$11</x:f>
        <x:v>118.1605376</x:v>
      </x:c>
      <x:c r="D42" s="744" t="n">
        <x:f>D41*$B$11</x:f>
        <x:v>104.02972159999997</x:v>
      </x:c>
      <x:c r="E42" s="744" t="n">
        <x:f>E41*$B$11</x:f>
        <x:v>96.96431359999998</x:v>
      </x:c>
      <x:c r="F42" s="744" t="n">
        <x:f>F41*$B$11</x:f>
        <x:v>96.96431359999998</x:v>
      </x:c>
      <x:c r="G42" s="664"/>
      <x:c r="H42" s="538"/>
      <x:c r="I42" s="538"/>
      <x:c r="J42" s="538"/>
      <x:c r="K42" s="538"/>
      <x:c r="L42" s="538"/>
      <x:c r="M42" s="538"/>
      <x:c r="N42" s="538"/>
      <x:c r="O42" s="538"/>
    </x:row>
    <x:row r="43" ht="18" customHeight="1">
      <x:c r="A43" s="784" t="str">
        <x:v>After-tax PPA expense</x:v>
      </x:c>
      <x:c r="B43" s="805" t="n">
        <x:f>B41-B42</x:f>
        <x:v>235.5440405333333</x:v>
      </x:c>
      <x:c r="C43" s="805" t="n">
        <x:f>C41-C42</x:f>
        <x:v>444.50868906666665</x:v>
      </x:c>
      <x:c r="D43" s="805" t="n">
        <x:f>D41-D42</x:f>
        <x:v>391.3499050666666</x:v>
      </x:c>
      <x:c r="E43" s="805" t="n">
        <x:f>E41-E42</x:f>
        <x:v>364.77051306666664</x:v>
      </x:c>
      <x:c r="F43" s="805" t="n">
        <x:f>F41-F42</x:f>
        <x:v>364.77051306666664</x:v>
      </x:c>
      <x:c r="G43" s="664"/>
      <x:c r="H43" s="538"/>
      <x:c r="I43" s="538"/>
      <x:c r="J43" s="538"/>
      <x:c r="K43" s="538"/>
      <x:c r="L43" s="538"/>
      <x:c r="M43" s="538"/>
      <x:c r="N43" s="538"/>
      <x:c r="O43" s="538"/>
    </x:row>
    <x:row r="44" ht="18" customHeight="1">
      <x:c r="A44" s="538"/>
      <x:c r="B44" s="746"/>
      <x:c r="C44" s="746"/>
      <x:c r="D44" s="746"/>
      <x:c r="E44" s="746"/>
      <x:c r="F44" s="746"/>
      <x:c r="G44" s="538"/>
      <x:c r="H44" s="538"/>
      <x:c r="I44" s="538"/>
      <x:c r="J44" s="538"/>
      <x:c r="K44" s="538"/>
      <x:c r="L44" s="538"/>
      <x:c r="M44" s="538"/>
      <x:c r="N44" s="538"/>
      <x:c r="O44" s="538"/>
    </x:row>
    <x:row r="45" ht="18" customHeight="1">
      <x:c r="A45" s="777" t="str">
        <x:v>DEFERRED TAX LIABILITY ROLL-FORWARD</x:v>
      </x:c>
      <x:c r="B45" s="806"/>
      <x:c r="C45" s="806"/>
      <x:c r="D45" s="806"/>
      <x:c r="E45" s="806"/>
      <x:c r="F45" s="806"/>
      <x:c r="G45" s="777"/>
      <x:c r="H45" s="777" t="str">
        <x:v>RECONCILIATION CHECKS</x:v>
      </x:c>
      <x:c r="I45" s="777"/>
      <x:c r="J45" s="777"/>
      <x:c r="K45" s="777"/>
      <x:c r="L45" s="777"/>
      <x:c r="M45" s="777"/>
      <x:c r="N45" s="777"/>
      <x:c r="O45" s="777"/>
    </x:row>
    <x:row r="46" ht="18" customHeight="1">
      <x:c r="A46" s="779" t="str">
        <x:v>Beginning DTL</x:v>
      </x:c>
      <x:c r="B46" s="744" t="n">
        <x:f>$I$15</x:f>
        <x:v>1102.203648</x:v>
      </x:c>
      <x:c r="C46" s="744" t="n">
        <x:f>B48</x:f>
        <x:v>1039.5906751999999</x:v>
      </x:c>
      <x:c r="D46" s="744" t="n">
        <x:f>C48</x:f>
        <x:v>921.4301375999999</x:v>
      </x:c>
      <x:c r="E46" s="744" t="n">
        <x:f>D48</x:f>
        <x:v>817.4004159999998</x:v>
      </x:c>
      <x:c r="F46" s="744" t="n">
        <x:f>E48</x:f>
        <x:v>720.4361023999999</x:v>
      </x:c>
      <x:c r="G46" s="538"/>
      <x:c r="H46" s="779" t="str">
        <x:v>Purchase consideration bridge</x:v>
      </x:c>
      <x:c r="I46" s="807" t="n">
        <x:f>I6-I16-I17</x:f>
        <x:v>0</x:v>
      </x:c>
      <x:c r="J46" s="664" t="str">
        <x:v>Must equal zero</x:v>
      </x:c>
      <x:c r="K46" s="664"/>
      <x:c r="L46" s="664"/>
      <x:c r="M46" s="664"/>
      <x:c r="N46" s="664"/>
      <x:c r="O46" s="664"/>
    </x:row>
    <x:row r="47" ht="18" customHeight="1">
      <x:c r="A47" s="779" t="str">
        <x:v>Less: DTL reversal</x:v>
      </x:c>
      <x:c r="B47" s="744" t="n">
        <x:f>B42</x:f>
        <x:v>62.61297279999999</x:v>
      </x:c>
      <x:c r="C47" s="744" t="n">
        <x:f>C42</x:f>
        <x:v>118.1605376</x:v>
      </x:c>
      <x:c r="D47" s="744" t="n">
        <x:f>D42</x:f>
        <x:v>104.02972159999997</x:v>
      </x:c>
      <x:c r="E47" s="744" t="n">
        <x:f>E42</x:f>
        <x:v>96.96431359999998</x:v>
      </x:c>
      <x:c r="F47" s="744" t="n">
        <x:f>F42</x:f>
        <x:v>96.96431359999998</x:v>
      </x:c>
      <x:c r="G47" s="538"/>
      <x:c r="H47" s="779" t="str">
        <x:v>Allocation percentage total</x:v>
      </x:c>
      <x:c r="I47" s="808" t="n">
        <x:f>B24</x:f>
        <x:v>0.39</x:v>
      </x:c>
      <x:c r="J47" s="664" t="str">
        <x:v>39.0% of consideration assigned to identifiable asset write-ups</x:v>
      </x:c>
      <x:c r="K47" s="664"/>
      <x:c r="L47" s="664"/>
      <x:c r="M47" s="664"/>
      <x:c r="N47" s="664"/>
      <x:c r="O47" s="664"/>
    </x:row>
    <x:row r="48" ht="18" customHeight="1">
      <x:c r="A48" s="779" t="str">
        <x:v>Ending DTL</x:v>
      </x:c>
      <x:c r="B48" s="807" t="n">
        <x:f>MAX(0,B46-B47)</x:f>
        <x:v>1039.5906751999999</x:v>
      </x:c>
      <x:c r="C48" s="807" t="n">
        <x:f>MAX(0,C46-C47)</x:f>
        <x:v>921.4301375999999</x:v>
      </x:c>
      <x:c r="D48" s="807" t="n">
        <x:f>MAX(0,D46-D47)</x:f>
        <x:v>817.4004159999998</x:v>
      </x:c>
      <x:c r="E48" s="807" t="n">
        <x:f>MAX(0,E46-E47)</x:f>
        <x:v>720.4361023999999</x:v>
      </x:c>
      <x:c r="F48" s="807" t="n">
        <x:f>MAX(0,F46-F47)</x:f>
        <x:v>623.4717887999999</x:v>
      </x:c>
      <x:c r="G48" s="538"/>
      <x:c r="H48" s="779" t="str">
        <x:v>Goodwill positive</x:v>
      </x:c>
      <x:c r="I48" s="807" t="n">
        <x:f>I17</x:f>
        <x:v>8127.828847999998</x:v>
      </x:c>
      <x:c r="J48" s="664" t="str">
        <x:v>Residual goodwill must remain greater than zero</x:v>
      </x:c>
      <x:c r="K48" s="664"/>
      <x:c r="L48" s="664"/>
      <x:c r="M48" s="664"/>
      <x:c r="N48" s="664"/>
      <x:c r="O48" s="664"/>
    </x:row>
    <x:row r="49" ht="18" customHeight="1">
      <x:c r="A49" s="538"/>
      <x:c r="B49" s="538"/>
      <x:c r="C49" s="538"/>
      <x:c r="D49" s="538"/>
      <x:c r="E49" s="538"/>
      <x:c r="F49" s="538"/>
      <x:c r="G49" s="538"/>
      <x:c r="H49" s="779" t="str">
        <x:v>First-year expense tie-out</x:v>
      </x:c>
      <x:c r="I49" s="807" t="n">
        <x:f>I27-B43</x:f>
        <x:v>0</x:v>
      </x:c>
      <x:c r="J49" s="664" t="str">
        <x:v>Key output must equal the detailed schedule</x:v>
      </x:c>
      <x:c r="K49" s="664"/>
      <x:c r="L49" s="664"/>
      <x:c r="M49" s="664"/>
      <x:c r="N49" s="664"/>
      <x:c r="O49" s="664"/>
    </x:row>
    <x:row r="50" ht="18" customHeight="1">
      <x:c r="A50" s="538"/>
      <x:c r="B50" s="538"/>
      <x:c r="C50" s="538"/>
      <x:c r="D50" s="538"/>
      <x:c r="E50" s="538"/>
      <x:c r="F50" s="538"/>
      <x:c r="G50" s="538"/>
      <x:c r="H50" s="538"/>
      <x:c r="I50" s="538"/>
      <x:c r="J50" s="538"/>
      <x:c r="K50" s="538"/>
      <x:c r="L50" s="538"/>
      <x:c r="M50" s="538"/>
      <x:c r="N50" s="538"/>
      <x:c r="O50" s="538"/>
    </x:row>
    <x:row r="51" ht="18" customHeight="1">
      <x:c r="A51" s="777" t="str">
        <x:v>ANALYST INTERPRETATION</x:v>
      </x:c>
      <x:c r="B51" s="777"/>
      <x:c r="C51" s="777"/>
      <x:c r="D51" s="777"/>
      <x:c r="E51" s="777"/>
      <x:c r="F51" s="777"/>
      <x:c r="G51" s="777"/>
      <x:c r="H51" s="777"/>
      <x:c r="I51" s="777"/>
      <x:c r="J51" s="777"/>
      <x:c r="K51" s="777"/>
      <x:c r="L51" s="777"/>
      <x:c r="M51" s="777"/>
      <x:c r="N51" s="777"/>
      <x:c r="O51" s="777"/>
    </x:row>
    <x:row r="52" ht="30" customHeight="1">
      <x:c r="A52" s="792" t="str">
        <x:v>The preliminary allocation creates approximately $8.2 billion of goodwill because the $80 offer materially exceeds Cognex’s tangible book value and the identifiable technology, customer, brand, backlog, inventory, and PP&amp;E values assigned in this merger model.</x:v>
      </x:c>
      <x:c r="B52" s="792"/>
      <x:c r="C52" s="792"/>
      <x:c r="D52" s="792"/>
      <x:c r="E52" s="792"/>
      <x:c r="F52" s="792"/>
      <x:c r="G52" s="792"/>
      <x:c r="H52" s="792"/>
      <x:c r="I52" s="792"/>
      <x:c r="J52" s="792"/>
      <x:c r="K52" s="792"/>
      <x:c r="L52" s="792"/>
      <x:c r="M52" s="792"/>
      <x:c r="N52" s="792"/>
      <x:c r="O52" s="792"/>
    </x:row>
    <x:row r="53" ht="30" customHeight="1">
      <x:c r="A53" s="792" t="str">
        <x:v>Goodwill is not amortized, but the acquired intangible and stepped-up tangible assets create material non-cash expense. The first-year schedule reflects six months of ownership based on a March 31 close and Rockwell’s September fiscal year-end.</x:v>
      </x:c>
      <x:c r="B53" s="792"/>
      <x:c r="C53" s="792"/>
      <x:c r="D53" s="792"/>
      <x:c r="E53" s="792"/>
      <x:c r="F53" s="792"/>
      <x:c r="G53" s="792"/>
      <x:c r="H53" s="792"/>
      <x:c r="I53" s="792"/>
      <x:c r="J53" s="792"/>
      <x:c r="K53" s="792"/>
      <x:c r="L53" s="792"/>
      <x:c r="M53" s="792"/>
      <x:c r="N53" s="792"/>
      <x:c r="O53" s="792"/>
    </x:row>
    <x:row r="54" ht="30" customHeight="1">
      <x:c r="A54" s="793" t="str">
        <x:v>This is an illustrative banking-model allocation, not a valuation report. An actual transaction would require specialist appraisals, legal-entity tax analysis, and management estimates before the opening balance sheet could be finalized.</x:v>
      </x:c>
      <x:c r="B54" s="793"/>
      <x:c r="C54" s="793"/>
      <x:c r="D54" s="793"/>
      <x:c r="E54" s="793"/>
      <x:c r="F54" s="793"/>
      <x:c r="G54" s="793"/>
      <x:c r="H54" s="793"/>
      <x:c r="I54" s="793"/>
      <x:c r="J54" s="793"/>
      <x:c r="K54" s="793"/>
      <x:c r="L54" s="793"/>
      <x:c r="M54" s="793"/>
      <x:c r="N54" s="793"/>
      <x:c r="O54" s="793"/>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A16:F16"/>
    <x:mergeCell ref="H5:O5"/>
    <x:mergeCell ref="J6:O6"/>
    <x:mergeCell ref="J7:O7"/>
    <x:mergeCell ref="J8:O8"/>
    <x:mergeCell ref="J9:O9"/>
    <x:mergeCell ref="J10:O10"/>
    <x:mergeCell ref="J11:O11"/>
    <x:mergeCell ref="J12:O12"/>
    <x:mergeCell ref="J13:O13"/>
    <x:mergeCell ref="J14:O14"/>
    <x:mergeCell ref="J15:O15"/>
    <x:mergeCell ref="J16:O16"/>
    <x:mergeCell ref="J17:O17"/>
    <x:mergeCell ref="J18:O18"/>
    <x:mergeCell ref="H20:O20"/>
    <x:mergeCell ref="J21:O21"/>
    <x:mergeCell ref="J22:O22"/>
    <x:mergeCell ref="J23:O23"/>
    <x:mergeCell ref="J24:O24"/>
    <x:mergeCell ref="J25:O25"/>
    <x:mergeCell ref="J26:O26"/>
    <x:mergeCell ref="J27:O27"/>
    <x:mergeCell ref="A29:O29"/>
    <x:mergeCell ref="A45:G45"/>
    <x:mergeCell ref="H45:O45"/>
    <x:mergeCell ref="J46:O46"/>
    <x:mergeCell ref="J47:O47"/>
    <x:mergeCell ref="J48:O48"/>
    <x:mergeCell ref="J49:O49"/>
    <x:mergeCell ref="A51:O51"/>
    <x:mergeCell ref="A52:O52"/>
    <x:mergeCell ref="A53:O53"/>
    <x:mergeCell ref="A54:O5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37" hidden="0" customWidth="1"/>
    <x:col min="2" max="2" width="15" hidden="0" customWidth="1"/>
    <x:col min="3" max="3" width="15" hidden="0" customWidth="1"/>
    <x:col min="4" max="4" width="15" hidden="0" customWidth="1"/>
    <x:col min="5" max="5" width="15" hidden="0" customWidth="1"/>
    <x:col min="6" max="6" width="26" hidden="0" customWidth="1"/>
    <x:col min="7" max="7" width="3" hidden="0" customWidth="1"/>
    <x:col min="8" max="8" width="40" hidden="0" customWidth="1"/>
    <x:col min="9" max="9" width="16" hidden="0" customWidth="1"/>
    <x:col min="10" max="10" width="16" hidden="0" customWidth="1"/>
    <x:col min="11" max="11" width="16" hidden="0" customWidth="1"/>
    <x:col min="12" max="12" width="16" hidden="0" customWidth="1"/>
    <x:col min="13" max="13" width="30" hidden="0" customWidth="1"/>
    <x:col min="14" max="14" width="18" hidden="0" customWidth="1"/>
    <x:col min="15" max="15" width="18" hidden="0" customWidth="1"/>
  </x:cols>
  <x:sheetData>
    <x:row r="1" ht="28" customHeight="1">
      <x:c r="A1" s="816" t="str">
        <x:v>Accretion / Dilution Analysis</x:v>
      </x:c>
      <x:c r="B1" s="816"/>
      <x:c r="C1" s="816"/>
      <x:c r="D1" s="816"/>
      <x:c r="E1" s="816"/>
      <x:c r="F1" s="816"/>
      <x:c r="G1" s="816"/>
      <x:c r="H1" s="816"/>
      <x:c r="I1" s="816"/>
      <x:c r="J1" s="816"/>
      <x:c r="K1" s="816"/>
      <x:c r="L1" s="816"/>
      <x:c r="M1" s="816"/>
      <x:c r="N1" s="816"/>
      <x:c r="O1" s="816"/>
    </x:row>
    <x:row r="2" ht="18" customHeight="1">
      <x:c r="A2" s="818" t="str">
        <x:v>Pro forma earnings, financing costs, purchase-accounting effects, share issuance, and EPS impact | USD millions except per-share data</x:v>
      </x:c>
      <x:c r="B2" s="818"/>
      <x:c r="C2" s="818"/>
      <x:c r="D2" s="818"/>
      <x:c r="E2" s="818"/>
      <x:c r="F2" s="818"/>
      <x:c r="G2" s="818"/>
      <x:c r="H2" s="818"/>
      <x:c r="I2" s="818"/>
      <x:c r="J2" s="818"/>
      <x:c r="K2" s="818"/>
      <x:c r="L2" s="818"/>
      <x:c r="M2" s="818"/>
      <x:c r="N2" s="818"/>
      <x:c r="O2" s="818"/>
    </x:row>
    <x:row r="3" ht="18" customHeight="1">
      <x:c r="A3" s="432" t="str">
        <x:v>Status</x:v>
      </x:c>
      <x:c r="B3" s="820" t="str">
        <x:v>Complete — base case excludes synergies and one-time transaction fees from headline recurring EPS</x:v>
      </x:c>
      <x:c r="C3" s="820"/>
      <x:c r="D3" s="820"/>
      <x:c r="E3" s="820"/>
      <x:c r="F3" s="820"/>
      <x:c r="G3" s="820"/>
      <x:c r="H3" s="820"/>
      <x:c r="I3" s="820"/>
      <x:c r="J3" s="820"/>
      <x:c r="K3" s="820"/>
      <x:c r="L3" s="820"/>
      <x:c r="M3" s="820"/>
      <x:c r="N3" s="820"/>
      <x:c r="O3" s="820"/>
    </x:row>
    <x:row r="4" ht="18" customHeight="1">
      <x:c r="A4" s="538"/>
      <x:c r="B4" s="538"/>
      <x:c r="C4" s="538"/>
      <x:c r="D4" s="538"/>
      <x:c r="E4" s="538"/>
      <x:c r="F4" s="538"/>
      <x:c r="G4" s="538"/>
      <x:c r="H4" s="538"/>
      <x:c r="I4" s="538"/>
      <x:c r="J4" s="538"/>
      <x:c r="K4" s="538"/>
      <x:c r="L4" s="538"/>
      <x:c r="M4" s="538"/>
      <x:c r="N4" s="538"/>
      <x:c r="O4" s="538"/>
    </x:row>
    <x:row r="5" ht="18" customHeight="1">
      <x:c r="A5" s="822" t="str">
        <x:v>TRANSACTION AND MODEL INPUTS</x:v>
      </x:c>
      <x:c r="B5" s="822"/>
      <x:c r="C5" s="822"/>
      <x:c r="D5" s="822"/>
      <x:c r="E5" s="822"/>
      <x:c r="F5" s="822"/>
      <x:c r="G5" s="538"/>
      <x:c r="H5" s="822" t="str">
        <x:v>KEY OUTPUTS</x:v>
      </x:c>
      <x:c r="I5" s="822"/>
      <x:c r="J5" s="822"/>
      <x:c r="K5" s="822"/>
      <x:c r="L5" s="822"/>
      <x:c r="M5" s="822"/>
      <x:c r="N5" s="822"/>
      <x:c r="O5" s="822"/>
    </x:row>
    <x:row r="6" ht="25" customHeight="1">
      <x:c r="A6" s="824" t="str">
        <x:v>First-year ownership</x:v>
      </x:c>
      <x:c r="B6" s="733" t="n">
        <x:f>'Purchase Accounting'!B13/'Purchase Accounting'!B12</x:f>
        <x:v>0.5</x:v>
      </x:c>
      <x:c r="C6" s="436" t="str">
        <x:v>% of year</x:v>
      </x:c>
      <x:c r="D6" s="436" t="str">
        <x:v>Purchase Accounting</x:v>
      </x:c>
      <x:c r="E6" s="664" t="str">
        <x:v>Six months from March 31 close through Rockwell’s September 30 fiscal year-end</x:v>
      </x:c>
      <x:c r="F6" s="664"/>
      <x:c r="G6" s="538"/>
      <x:c r="H6" s="824" t="str">
        <x:v>FY2027E EPS accretion / (dilution) — incl. PPA</x:v>
      </x:c>
      <x:c r="I6" s="840" t="n">
        <x:f>B41</x:f>
        <x:v>-0.20507774150422142</x:v>
      </x:c>
      <x:c r="J6" s="664" t="str">
        <x:v>Headline recurring result on Rockwell’s adjusted-earnings base</x:v>
      </x:c>
      <x:c r="K6" s="664"/>
      <x:c r="L6" s="664"/>
      <x:c r="M6" s="664"/>
      <x:c r="N6" s="664"/>
      <x:c r="O6" s="664"/>
    </x:row>
    <x:row r="7" ht="25" customHeight="1">
      <x:c r="A7" s="824" t="str">
        <x:v>Buyer tax rate</x:v>
      </x:c>
      <x:c r="B7" s="733" t="n">
        <x:f>'Purchase Accounting'!B11</x:f>
        <x:v>0.21</x:v>
      </x:c>
      <x:c r="C7" s="436" t="str">
        <x:v>%</x:v>
      </x:c>
      <x:c r="D7" s="436" t="str">
        <x:v>Purchase Accounting</x:v>
      </x:c>
      <x:c r="E7" s="664" t="str">
        <x:v>Applied to incremental financing costs and breakeven synergies</x:v>
      </x:c>
      <x:c r="F7" s="664"/>
      <x:c r="G7" s="538"/>
      <x:c r="H7" s="824" t="str">
        <x:v>FY2027E adjusted accretion / (dilution) — excl. PPA</x:v>
      </x:c>
      <x:c r="I7" s="840" t="n">
        <x:f>B45</x:f>
        <x:v>-0.06681149114314067</x:v>
      </x:c>
      <x:c r="J7" s="664" t="str">
        <x:v>Excludes acquisition-related PPA expense but retains financing costs and dilution</x:v>
      </x:c>
      <x:c r="K7" s="664"/>
      <x:c r="L7" s="664"/>
      <x:c r="M7" s="664"/>
      <x:c r="N7" s="664"/>
      <x:c r="O7" s="664"/>
    </x:row>
    <x:row r="8" ht="25" customHeight="1">
      <x:c r="A8" s="824" t="str">
        <x:v>Foregone cash yield</x:v>
      </x:c>
      <x:c r="B8" s="838" t="n">
        <x:v>0.04</x:v>
      </x:c>
      <x:c r="C8" s="436" t="str">
        <x:v>%</x:v>
      </x:c>
      <x:c r="D8" s="436" t="str">
        <x:v>Analyst assumption</x:v>
      </x:c>
      <x:c r="E8" s="664" t="str">
        <x:v>Pre-tax return forgone on Rockwell cash used at closing</x:v>
      </x:c>
      <x:c r="F8" s="664"/>
      <x:c r="G8" s="538"/>
      <x:c r="H8" s="824" t="str">
        <x:v>FY2028E EPS accretion / (dilution) — incl. PPA</x:v>
      </x:c>
      <x:c r="I8" s="840" t="n">
        <x:f>C41</x:f>
        <x:v>-0.33805997212936467</x:v>
      </x:c>
      <x:c r="J8" s="664" t="str">
        <x:v>First full fiscal-year result</x:v>
      </x:c>
      <x:c r="K8" s="664"/>
      <x:c r="L8" s="664"/>
      <x:c r="M8" s="664"/>
      <x:c r="N8" s="664"/>
      <x:c r="O8" s="664"/>
    </x:row>
    <x:row r="9" ht="25" customHeight="1">
      <x:c r="A9" s="824" t="str">
        <x:v>Debt-fee amortization period</x:v>
      </x:c>
      <x:c r="B9" s="839" t="n">
        <x:v>5</x:v>
      </x:c>
      <x:c r="C9" s="436" t="str">
        <x:v>years</x:v>
      </x:c>
      <x:c r="D9" s="436" t="str">
        <x:v>Analyst assumption</x:v>
      </x:c>
      <x:c r="E9" s="664" t="str">
        <x:v>Straight-line amortization of upfront debt fees</x:v>
      </x:c>
      <x:c r="F9" s="664"/>
      <x:c r="G9" s="538"/>
      <x:c r="H9" s="824" t="str">
        <x:v>FY2028E adjusted accretion / (dilution) — excl. PPA</x:v>
      </x:c>
      <x:c r="I9" s="840" t="n">
        <x:f>C45</x:f>
        <x:v>-0.11056396062894436</x:v>
      </x:c>
      <x:c r="J9" s="664" t="str">
        <x:v>Shows underlying dilution before acquisition-accounting expense</x:v>
      </x:c>
      <x:c r="K9" s="664"/>
      <x:c r="L9" s="664"/>
      <x:c r="M9" s="664"/>
      <x:c r="N9" s="664"/>
      <x:c r="O9" s="664"/>
    </x:row>
    <x:row r="10" ht="25" customHeight="1">
      <x:c r="A10" s="824" t="str">
        <x:v>Transaction-fee tax deductibility</x:v>
      </x:c>
      <x:c r="B10" s="838" t="n">
        <x:v>0</x:v>
      </x:c>
      <x:c r="C10" s="436" t="str">
        <x:v>% deductible</x:v>
      </x:c>
      <x:c r="D10" s="436" t="str">
        <x:v>Analyst assumption</x:v>
      </x:c>
      <x:c r="E10" s="664" t="str">
        <x:v>Conservative assumption; actual deductibility depends on fee type and structure</x:v>
      </x:c>
      <x:c r="F10" s="664"/>
      <x:c r="G10" s="538"/>
      <x:c r="H10" s="824" t="str">
        <x:v>FY2027E annualized breakeven synergies — incl. PPA</x:v>
      </x:c>
      <x:c r="I10" s="841" t="n">
        <x:f>I24</x:f>
        <x:v>884.4583077701694</x:v>
      </x:c>
      <x:c r="J10" s="664" t="str">
        <x:v>Pre-tax run-rate needed to offset PPA, financing costs, and new shares</x:v>
      </x:c>
      <x:c r="K10" s="664"/>
      <x:c r="L10" s="664"/>
      <x:c r="M10" s="664"/>
      <x:c r="N10" s="664"/>
      <x:c r="O10" s="664"/>
    </x:row>
    <x:row r="11" ht="25" customHeight="1">
      <x:c r="A11" s="824" t="str">
        <x:v>New debt</x:v>
      </x:c>
      <x:c r="B11" s="794" t="n">
        <x:f>'Sources &amp; Uses'!B41</x:f>
        <x:v>4000</x:v>
      </x:c>
      <x:c r="C11" s="436" t="str">
        <x:v>$mm</x:v>
      </x:c>
      <x:c r="D11" s="436" t="str">
        <x:v>Sources &amp; Uses</x:v>
      </x:c>
      <x:c r="E11" s="664" t="str">
        <x:v>Term loan / bridge plus senior notes</x:v>
      </x:c>
      <x:c r="F11" s="664"/>
      <x:c r="G11" s="538"/>
      <x:c r="H11" s="824" t="str">
        <x:v>FY2027E annualized breakeven synergies — excl. PPA</x:v>
      </x:c>
      <x:c r="I11" s="841" t="n">
        <x:f>I30</x:f>
        <x:v>288.1442811035027</x:v>
      </x:c>
      <x:c r="J11" s="664" t="str">
        <x:v>Pre-tax run-rate needed to offset financing costs and new shares only</x:v>
      </x:c>
      <x:c r="K11" s="664"/>
      <x:c r="L11" s="664"/>
      <x:c r="M11" s="664"/>
      <x:c r="N11" s="664"/>
      <x:c r="O11" s="664"/>
    </x:row>
    <x:row r="12" ht="25" customHeight="1">
      <x:c r="A12" s="824" t="str">
        <x:v>New debt interest rate</x:v>
      </x:c>
      <x:c r="B12" s="733" t="n">
        <x:f>'Sources &amp; Uses'!B16</x:f>
        <x:v>0.06</x:v>
      </x:c>
      <x:c r="C12" s="436" t="str">
        <x:v>%</x:v>
      </x:c>
      <x:c r="D12" s="436" t="str">
        <x:v>Sources &amp; Uses</x:v>
      </x:c>
      <x:c r="E12" s="664" t="str">
        <x:v>Blended pre-tax rate</x:v>
      </x:c>
      <x:c r="F12" s="664"/>
      <x:c r="G12" s="538"/>
      <x:c r="H12" s="824" t="str">
        <x:v>FY2027E headline EPS result</x:v>
      </x:c>
      <x:c r="I12" s="827" t="str">
        <x:f>IF(I6&gt;=0,"Accretive","Dilutive")</x:f>
        <x:v>Dilutive</x:v>
      </x:c>
      <x:c r="J12" s="664" t="str">
        <x:v>Negative EPS change means dilution</x:v>
      </x:c>
      <x:c r="K12" s="664"/>
      <x:c r="L12" s="664"/>
      <x:c r="M12" s="664"/>
      <x:c r="N12" s="664"/>
      <x:c r="O12" s="664"/>
    </x:row>
    <x:row r="13" ht="25" customHeight="1">
      <x:c r="A13" s="824" t="str">
        <x:v>ROK cash used</x:v>
      </x:c>
      <x:c r="B13" s="794" t="n">
        <x:f>'Sources &amp; Uses'!I21</x:f>
        <x:v>211.95520000000033</x:v>
      </x:c>
      <x:c r="C13" s="436" t="str">
        <x:v>$mm</x:v>
      </x:c>
      <x:c r="D13" s="436" t="str">
        <x:v>Sources &amp; Uses</x:v>
      </x:c>
      <x:c r="E13" s="664" t="str">
        <x:v>Balance-sheet cash used as a transaction source</x:v>
      </x:c>
      <x:c r="F13" s="664"/>
      <x:c r="G13" s="538"/>
      <x:c r="H13" s="824" t="str">
        <x:v>FY2028E headline EPS result</x:v>
      </x:c>
      <x:c r="I13" s="827" t="str">
        <x:f>IF(I8&gt;=0,"Accretive","Dilutive")</x:f>
        <x:v>Dilutive</x:v>
      </x:c>
      <x:c r="J13" s="664" t="str">
        <x:v>Negative EPS change means dilution</x:v>
      </x:c>
      <x:c r="K13" s="664"/>
      <x:c r="L13" s="664"/>
      <x:c r="M13" s="664"/>
      <x:c r="N13" s="664"/>
      <x:c r="O13" s="664"/>
    </x:row>
    <x:row r="14" ht="25" customHeight="1">
      <x:c r="A14" s="824" t="str">
        <x:v>Debt financing fees</x:v>
      </x:c>
      <x:c r="B14" s="794" t="n">
        <x:f>'Sources &amp; Uses'!B25</x:f>
        <x:v>40</x:v>
      </x:c>
      <x:c r="C14" s="436" t="str">
        <x:v>$mm</x:v>
      </x:c>
      <x:c r="D14" s="436" t="str">
        <x:v>Sources &amp; Uses</x:v>
      </x:c>
      <x:c r="E14" s="664" t="str">
        <x:v>Capitalized and amortized through interest expense</x:v>
      </x:c>
      <x:c r="F14" s="664"/>
      <x:c r="G14" s="538"/>
      <x:c r="H14" s="824" t="str">
        <x:v>Target holders’ pro forma ownership</x:v>
      </x:c>
      <x:c r="I14" s="842" t="n">
        <x:f>'Sources &amp; Uses'!I36</x:f>
        <x:v>0.1629086315972937</x:v>
      </x:c>
      <x:c r="J14" s="664" t="str">
        <x:v>Target shareholders participate in the combined company through stock consideration</x:v>
      </x:c>
      <x:c r="K14" s="664"/>
      <x:c r="L14" s="664"/>
      <x:c r="M14" s="664"/>
      <x:c r="N14" s="664"/>
      <x:c r="O14" s="664"/>
    </x:row>
    <x:row r="15" ht="24" customHeight="1">
      <x:c r="A15" s="824" t="str">
        <x:v>One-time transaction fees</x:v>
      </x:c>
      <x:c r="B15" s="794" t="n">
        <x:f>'Sources &amp; Uses'!B24</x:f>
        <x:v>134.5792</x:v>
      </x:c>
      <x:c r="C15" s="436" t="str">
        <x:v>$mm</x:v>
      </x:c>
      <x:c r="D15" s="436" t="str">
        <x:v>Sources &amp; Uses</x:v>
      </x:c>
      <x:c r="E15" s="664" t="str">
        <x:v>Excluded from headline recurring EPS; shown separately</x:v>
      </x:c>
      <x:c r="F15" s="664"/>
      <x:c r="G15" s="538"/>
      <x:c r="H15" s="538"/>
      <x:c r="I15" s="538"/>
      <x:c r="J15" s="538"/>
      <x:c r="K15" s="538"/>
      <x:c r="L15" s="538"/>
      <x:c r="M15" s="538"/>
      <x:c r="N15" s="538"/>
      <x:c r="O15" s="538"/>
    </x:row>
    <x:row r="16" ht="24" customHeight="1">
      <x:c r="A16" s="824" t="str">
        <x:v>New ROK shares issued</x:v>
      </x:c>
      <x:c r="B16" s="560" t="n">
        <x:f>'Sources &amp; Uses'!I33</x:f>
        <x:v>21.834613512573874</x:v>
      </x:c>
      <x:c r="C16" s="436" t="str">
        <x:v>mm shares</x:v>
      </x:c>
      <x:c r="D16" s="436" t="str">
        <x:v>Sources &amp; Uses</x:v>
      </x:c>
      <x:c r="E16" s="664" t="str">
        <x:v>Direct stock consideration divided by Rockwell share price</x:v>
      </x:c>
      <x:c r="F16" s="664"/>
      <x:c r="G16" s="538"/>
      <x:c r="H16" s="538"/>
      <x:c r="I16" s="538"/>
      <x:c r="J16" s="538"/>
      <x:c r="K16" s="538"/>
      <x:c r="L16" s="538"/>
      <x:c r="M16" s="538"/>
      <x:c r="N16" s="538"/>
      <x:c r="O16" s="538"/>
    </x:row>
    <x:row r="17" ht="18" customHeight="1">
      <x:c r="A17" s="538"/>
      <x:c r="B17" s="538"/>
      <x:c r="C17" s="538"/>
      <x:c r="D17" s="538"/>
      <x:c r="E17" s="538"/>
      <x:c r="F17" s="538"/>
      <x:c r="G17" s="538"/>
      <x:c r="H17" s="538"/>
      <x:c r="I17" s="538"/>
      <x:c r="J17" s="538"/>
      <x:c r="K17" s="538"/>
      <x:c r="L17" s="538"/>
      <x:c r="M17" s="538"/>
      <x:c r="N17" s="538"/>
      <x:c r="O17" s="538"/>
    </x:row>
    <x:row r="18" ht="18" customHeight="1">
      <x:c r="A18" s="538"/>
      <x:c r="B18" s="538"/>
      <x:c r="C18" s="538"/>
      <x:c r="D18" s="538"/>
      <x:c r="E18" s="538"/>
      <x:c r="F18" s="538"/>
      <x:c r="G18" s="538"/>
      <x:c r="H18" s="538"/>
      <x:c r="I18" s="538"/>
      <x:c r="J18" s="538"/>
      <x:c r="K18" s="538"/>
      <x:c r="L18" s="538"/>
      <x:c r="M18" s="538"/>
      <x:c r="N18" s="538"/>
      <x:c r="O18" s="538"/>
    </x:row>
    <x:row r="19" ht="18" customHeight="1">
      <x:c r="A19" s="822" t="str">
        <x:v>PRO FORMA EARNINGS AND EPS</x:v>
      </x:c>
      <x:c r="B19" s="822"/>
      <x:c r="C19" s="822"/>
      <x:c r="D19" s="822"/>
      <x:c r="E19" s="822"/>
      <x:c r="F19" s="822"/>
      <x:c r="G19" s="822"/>
      <x:c r="H19" s="822" t="str">
        <x:v>EPS BREAKEVEN SYNERGY ANALYSIS</x:v>
      </x:c>
      <x:c r="I19" s="822"/>
      <x:c r="J19" s="822"/>
      <x:c r="K19" s="822"/>
      <x:c r="L19" s="822"/>
      <x:c r="M19" s="822"/>
      <x:c r="N19" s="822"/>
      <x:c r="O19" s="822"/>
    </x:row>
    <x:row r="20" ht="18" customHeight="1">
      <x:c r="A20" s="824" t="str">
        <x:v>Fiscal year ended</x:v>
      </x:c>
      <x:c r="B20" s="843" t="n">
        <x:f>'Purchase Accounting'!B30</x:f>
        <x:v>46660</x:v>
      </x:c>
      <x:c r="C20" s="843" t="n">
        <x:f>'Purchase Accounting'!C30</x:f>
        <x:v>47026</x:v>
      </x:c>
      <x:c r="D20" s="843" t="n">
        <x:f>'Purchase Accounting'!D30</x:f>
        <x:v>47391</x:v>
      </x:c>
      <x:c r="E20" s="843" t="n">
        <x:f>'Purchase Accounting'!E30</x:f>
        <x:v>47756</x:v>
      </x:c>
      <x:c r="F20" s="664" t="str">
        <x:v>Source / calculation</x:v>
      </x:c>
      <x:c r="G20" s="664"/>
      <x:c r="H20" s="824" t="str">
        <x:v>Fiscal year ended</x:v>
      </x:c>
      <x:c r="I20" s="843" t="n">
        <x:f>B20</x:f>
        <x:v>46660</x:v>
      </x:c>
      <x:c r="J20" s="843" t="n">
        <x:f>C20</x:f>
        <x:v>47026</x:v>
      </x:c>
      <x:c r="K20" s="843" t="n">
        <x:f>D20</x:f>
        <x:v>47391</x:v>
      </x:c>
      <x:c r="L20" s="843" t="n">
        <x:f>E20</x:f>
        <x:v>47756</x:v>
      </x:c>
      <x:c r="M20" s="664" t="str">
        <x:v>Calculation</x:v>
      </x:c>
      <x:c r="N20" s="538"/>
      <x:c r="O20" s="538"/>
    </x:row>
    <x:row r="21" ht="18" customHeight="1">
      <x:c r="A21" s="824"/>
      <x:c r="B21" s="436"/>
      <x:c r="C21" s="436"/>
      <x:c r="D21" s="436"/>
      <x:c r="E21" s="436"/>
      <x:c r="F21" s="664"/>
      <x:c r="G21" s="664"/>
      <x:c r="H21" s="824"/>
      <x:c r="I21" s="436"/>
      <x:c r="J21" s="436"/>
      <x:c r="K21" s="436"/>
      <x:c r="L21" s="436"/>
      <x:c r="M21" s="664"/>
      <x:c r="N21" s="538"/>
      <x:c r="O21" s="538"/>
    </x:row>
    <x:row r="22" ht="18" customHeight="1">
      <x:c r="A22" s="824" t="str">
        <x:v>ROK standalone adjusted net income</x:v>
      </x:c>
      <x:c r="B22" s="794" t="n">
        <x:f>'ROK Forecast'!F14</x:f>
        <x:v>1551.3777816576</x:v>
      </x:c>
      <x:c r="C22" s="794" t="n">
        <x:f>'ROK Forecast'!G14</x:f>
        <x:v>1631.3047649685998</x:v>
      </x:c>
      <x:c r="D22" s="794" t="n">
        <x:f>'ROK Forecast'!H14</x:f>
        <x:v>1699.1670431912937</x:v>
      </x:c>
      <x:c r="E22" s="794" t="n">
        <x:f>'ROK Forecast'!I14</x:f>
        <x:v>1769.8523921880515</x:v>
      </x:c>
      <x:c r="F22" s="664" t="str">
        <x:v>ROK Forecast</x:v>
      </x:c>
      <x:c r="G22" s="664"/>
      <x:c r="H22" s="824" t="str">
        <x:v>After-tax earnings shortfall — including PPA</x:v>
      </x:c>
      <x:c r="I22" s="744" t="n">
        <x:f>MAX(0,B39*B38-B34)</x:f>
        <x:v>349.36103156921695</x:v>
      </x:c>
      <x:c r="J22" s="744" t="n">
        <x:f>MAX(0,C39*C38-C34)</x:f>
        <x:v>660.5416686035401</x:v>
      </x:c>
      <x:c r="K22" s="744" t="n">
        <x:f>MAX(0,D39*D38-D34)</x:f>
        <x:v>593.8283595643836</x:v>
      </x:c>
      <x:c r="L22" s="744" t="n">
        <x:f>MAX(0,E39*E38-E34)</x:f>
        <x:v>558.4884586515095</x:v>
      </x:c>
      <x:c r="M22" s="664" t="str">
        <x:v>Buyer EPS × pro forma shares less pro forma net income</x:v>
      </x:c>
      <x:c r="N22" s="538"/>
      <x:c r="O22" s="538"/>
    </x:row>
    <x:row r="23" ht="18" customHeight="1">
      <x:c r="A23" s="824" t="str">
        <x:v>CGNX standalone net income</x:v>
      </x:c>
      <x:c r="B23" s="794" t="n">
        <x:f>'CGNX Operating Model'!F37</x:f>
        <x:v>279.3364799999999</x:v>
      </x:c>
      <x:c r="C23" s="794" t="n">
        <x:f>'CGNX Operating Model'!G37</x:f>
        <x:v>309.19864320000005</x:v>
      </x:c>
      <x:c r="D23" s="794" t="n">
        <x:f>'CGNX Operating Model'!H37</x:f>
        <x:v>338.88386016</x:v>
      </x:c>
      <x:c r="E23" s="794" t="n">
        <x:f>'CGNX Operating Model'!I37</x:f>
        <x:v>364.58159558976</x:v>
      </x:c>
      <x:c r="F23" s="664" t="str">
        <x:v>CGNX Operating Model</x:v>
      </x:c>
      <x:c r="G23" s="664"/>
      <x:c r="H23" s="824" t="str">
        <x:v>Pre-tax synergies recognized — including PPA</x:v>
      </x:c>
      <x:c r="I23" s="744" t="n">
        <x:f>I22/(1-$B$7)</x:f>
        <x:v>442.2291538850847</x:v>
      </x:c>
      <x:c r="J23" s="744" t="n">
        <x:f>J22/(1-$B$7)</x:f>
        <x:v>836.1286944348608</x:v>
      </x:c>
      <x:c r="K23" s="744" t="n">
        <x:f>K22/(1-$B$7)</x:f>
        <x:v>751.6814678030172</x:v>
      </x:c>
      <x:c r="L23" s="744" t="n">
        <x:f>L22/(1-$B$7)</x:f>
        <x:v>706.947416014569</x:v>
      </x:c>
      <x:c r="M23" s="664" t="str">
        <x:v>After-tax shortfall ÷ (1 − tax rate)</x:v>
      </x:c>
      <x:c r="N23" s="538"/>
      <x:c r="O23" s="538"/>
    </x:row>
    <x:row r="24" ht="18" customHeight="1">
      <x:c r="A24" s="824" t="str">
        <x:v>Ownership factor</x:v>
      </x:c>
      <x:c r="B24" s="733" t="n">
        <x:f>$B$6</x:f>
        <x:v>0.5</x:v>
      </x:c>
      <x:c r="C24" s="733" t="n">
        <x:f>1</x:f>
        <x:v>1</x:v>
      </x:c>
      <x:c r="D24" s="733" t="n">
        <x:f>1</x:f>
        <x:v>1</x:v>
      </x:c>
      <x:c r="E24" s="733" t="n">
        <x:f>1</x:f>
        <x:v>1</x:v>
      </x:c>
      <x:c r="F24" s="664" t="str">
        <x:v>Close-date convention</x:v>
      </x:c>
      <x:c r="G24" s="664"/>
      <x:c r="H24" s="824" t="str">
        <x:v>Annualized pre-tax synergy run-rate — including PPA</x:v>
      </x:c>
      <x:c r="I24" s="847" t="n">
        <x:f>I23/B24</x:f>
        <x:v>884.4583077701694</x:v>
      </x:c>
      <x:c r="J24" s="847" t="n">
        <x:f>J23/C24</x:f>
        <x:v>836.1286944348608</x:v>
      </x:c>
      <x:c r="K24" s="847" t="n">
        <x:f>K23/D24</x:f>
        <x:v>751.6814678030172</x:v>
      </x:c>
      <x:c r="L24" s="847" t="n">
        <x:f>L23/E24</x:f>
        <x:v>706.947416014569</x:v>
      </x:c>
      <x:c r="M24" s="664" t="str">
        <x:v>Recognized synergies ÷ ownership factor</x:v>
      </x:c>
      <x:c r="N24" s="538"/>
      <x:c r="O24" s="538"/>
    </x:row>
    <x:row r="25" ht="18" customHeight="1">
      <x:c r="A25" s="824" t="str">
        <x:v>Acquired CGNX net income contribution</x:v>
      </x:c>
      <x:c r="B25" s="744" t="n">
        <x:f>B23*B24</x:f>
        <x:v>139.66823999999994</x:v>
      </x:c>
      <x:c r="C25" s="744" t="n">
        <x:f>C23*C24</x:f>
        <x:v>309.19864320000005</x:v>
      </x:c>
      <x:c r="D25" s="744" t="n">
        <x:f>D23*D24</x:f>
        <x:v>338.88386016</x:v>
      </x:c>
      <x:c r="E25" s="744" t="n">
        <x:f>E23*E24</x:f>
        <x:v>364.58159558976</x:v>
      </x:c>
      <x:c r="F25" s="664" t="str">
        <x:v>Target net income × ownership factor</x:v>
      </x:c>
      <x:c r="G25" s="664"/>
      <x:c r="H25" s="824" t="str">
        <x:v>Run-rate / CGNX revenue</x:v>
      </x:c>
      <x:c r="I25" s="848" t="n">
        <x:f>I24/'CGNX Operating Model'!F20</x:f>
        <x:v>0.7117803861018585</x:v>
      </x:c>
      <x:c r="J25" s="848" t="n">
        <x:f>J24/'CGNX Operating Model'!G20</x:f>
        <x:v>0.6230430030483132</x:v>
      </x:c>
      <x:c r="K25" s="848" t="n">
        <x:f>K24/'CGNX Operating Model'!H20</x:f>
        <x:v>0.5234738128801891</x:v>
      </x:c>
      <x:c r="L25" s="848" t="n">
        <x:f>L24/'CGNX Operating Model'!I20</x:f>
        <x:v>0.46227309885251616</x:v>
      </x:c>
      <x:c r="M25" s="664" t="str">
        <x:v>Annualized run-rate ÷ target revenue</x:v>
      </x:c>
      <x:c r="N25" s="538"/>
      <x:c r="O25" s="538"/>
    </x:row>
    <x:row r="26" ht="18" customHeight="1">
      <x:c r="A26" s="824"/>
      <x:c r="B26" s="716"/>
      <x:c r="C26" s="716"/>
      <x:c r="D26" s="716"/>
      <x:c r="E26" s="716"/>
      <x:c r="F26" s="664"/>
      <x:c r="G26" s="664"/>
      <x:c r="H26" s="824" t="str">
        <x:v>Run-rate / CGNX EBITDA</x:v>
      </x:c>
      <x:c r="I26" s="848" t="n">
        <x:f>I24/'CGNX Operating Model'!F32</x:f>
        <x:v>2.3965669565719154</x:v>
      </x:c>
      <x:c r="J26" s="848" t="n">
        <x:f>J24/'CGNX Operating Model'!G32</x:f>
        <x:v>2.042763944420699</x:v>
      </x:c>
      <x:c r="K26" s="848" t="n">
        <x:f>K24/'CGNX Operating Model'!H32</x:f>
        <x:v>1.677800682308299</x:v>
      </x:c>
      <x:c r="L26" s="848" t="n">
        <x:f>L24/'CGNX Operating Model'!I32</x:f>
        <x:v>1.4675336471508453</x:v>
      </x:c>
      <x:c r="M26" s="664" t="str">
        <x:v>Annualized run-rate ÷ target EBITDA</x:v>
      </x:c>
      <x:c r="N26" s="538"/>
      <x:c r="O26" s="538"/>
    </x:row>
    <x:row r="27" ht="18" customHeight="1">
      <x:c r="A27" s="824" t="str">
        <x:v>New debt interest expense</x:v>
      </x:c>
      <x:c r="B27" s="794" t="n">
        <x:f>$B$11*$B$12*B24</x:f>
        <x:v>120</x:v>
      </x:c>
      <x:c r="C27" s="794" t="n">
        <x:f>$B$11*$B$12*C24</x:f>
        <x:v>240</x:v>
      </x:c>
      <x:c r="D27" s="794" t="n">
        <x:f>$B$11*$B$12*D24</x:f>
        <x:v>240</x:v>
      </x:c>
      <x:c r="E27" s="794" t="n">
        <x:f>$B$11*$B$12*E24</x:f>
        <x:v>240</x:v>
      </x:c>
      <x:c r="F27" s="664" t="str">
        <x:v>New debt × interest rate × ownership</x:v>
      </x:c>
      <x:c r="G27" s="664"/>
      <x:c r="H27" s="824"/>
      <x:c r="I27" s="436"/>
      <x:c r="J27" s="436"/>
      <x:c r="K27" s="436"/>
      <x:c r="L27" s="436"/>
      <x:c r="M27" s="664"/>
      <x:c r="N27" s="538"/>
      <x:c r="O27" s="538"/>
    </x:row>
    <x:row r="28" ht="18" customHeight="1">
      <x:c r="A28" s="824" t="str">
        <x:v>Foregone cash interest income</x:v>
      </x:c>
      <x:c r="B28" s="794" t="n">
        <x:f>$B$13*$B$8*B24</x:f>
        <x:v>4.239104000000006</x:v>
      </x:c>
      <x:c r="C28" s="794" t="n">
        <x:f>$B$13*$B$8*C24</x:f>
        <x:v>8.478208000000013</x:v>
      </x:c>
      <x:c r="D28" s="794" t="n">
        <x:f>$B$13*$B$8*D24</x:f>
        <x:v>8.478208000000013</x:v>
      </x:c>
      <x:c r="E28" s="794" t="n">
        <x:f>$B$13*$B$8*E24</x:f>
        <x:v>8.478208000000013</x:v>
      </x:c>
      <x:c r="F28" s="664" t="str">
        <x:v>ROK cash used × foregone yield × ownership</x:v>
      </x:c>
      <x:c r="G28" s="664"/>
      <x:c r="H28" s="824" t="str">
        <x:v>After-tax earnings shortfall — excluding PPA</x:v>
      </x:c>
      <x:c r="I28" s="744" t="n">
        <x:f>MAX(0,B39*B38-B43)</x:f>
        <x:v>113.81699103588358</x:v>
      </x:c>
      <x:c r="J28" s="744" t="n">
        <x:f>MAX(0,C39*C38-C43)</x:f>
        <x:v>216.03297953687343</x:v>
      </x:c>
      <x:c r="K28" s="744" t="n">
        <x:f>MAX(0,D39*D38-D43)</x:f>
        <x:v>202.47845449771694</x:v>
      </x:c>
      <x:c r="L28" s="744" t="n">
        <x:f>MAX(0,E39*E38-E43)</x:f>
        <x:v>193.71794558484294</x:v>
      </x:c>
      <x:c r="M28" s="664" t="str">
        <x:v>Breakeven calculation before PPA expense</x:v>
      </x:c>
      <x:c r="N28" s="538"/>
      <x:c r="O28" s="538"/>
    </x:row>
    <x:row r="29" ht="18" customHeight="1">
      <x:c r="A29" s="824" t="str">
        <x:v>Debt-fee amortization</x:v>
      </x:c>
      <x:c r="B29" s="794" t="n">
        <x:f>($B$14/$B$9)*B24</x:f>
        <x:v>4</x:v>
      </x:c>
      <x:c r="C29" s="794" t="n">
        <x:f>($B$14/$B$9)*C24</x:f>
        <x:v>8</x:v>
      </x:c>
      <x:c r="D29" s="794" t="n">
        <x:f>($B$14/$B$9)*D24</x:f>
        <x:v>8</x:v>
      </x:c>
      <x:c r="E29" s="794" t="n">
        <x:f>($B$14/$B$9)*E24</x:f>
        <x:v>8</x:v>
      </x:c>
      <x:c r="F29" s="664" t="str">
        <x:v>Debt fees ÷ amortization period × ownership</x:v>
      </x:c>
      <x:c r="G29" s="664"/>
      <x:c r="H29" s="824" t="str">
        <x:v>Pre-tax synergies recognized — excluding PPA</x:v>
      </x:c>
      <x:c r="I29" s="744" t="n">
        <x:f>I28/(1-$B$7)</x:f>
        <x:v>144.07214055175135</x:v>
      </x:c>
      <x:c r="J29" s="744" t="n">
        <x:f>J28/(1-$B$7)</x:f>
        <x:v>273.4594677681942</x:v>
      </x:c>
      <x:c r="K29" s="744" t="n">
        <x:f>K28/(1-$B$7)</x:f>
        <x:v>256.30184113635056</x:v>
      </x:c>
      <x:c r="L29" s="744" t="n">
        <x:f>L28/(1-$B$7)</x:f>
        <x:v>245.21258934790245</x:v>
      </x:c>
      <x:c r="M29" s="664" t="str">
        <x:v>After-tax shortfall ÷ (1 − tax rate)</x:v>
      </x:c>
      <x:c r="N29" s="538"/>
      <x:c r="O29" s="538"/>
    </x:row>
    <x:row r="30" ht="18" customHeight="1">
      <x:c r="A30" s="824" t="str">
        <x:v>Total incremental financing costs</x:v>
      </x:c>
      <x:c r="B30" s="744" t="n">
        <x:f>SUM(B27:B29)</x:f>
        <x:v>128.239104</x:v>
      </x:c>
      <x:c r="C30" s="744" t="n">
        <x:f>SUM(C27:C29)</x:f>
        <x:v>256.478208</x:v>
      </x:c>
      <x:c r="D30" s="744" t="n">
        <x:f>SUM(D27:D29)</x:f>
        <x:v>256.478208</x:v>
      </x:c>
      <x:c r="E30" s="744" t="n">
        <x:f>SUM(E27:E29)</x:f>
        <x:v>256.478208</x:v>
      </x:c>
      <x:c r="F30" s="664" t="str">
        <x:v>Sum of financing costs</x:v>
      </x:c>
      <x:c r="G30" s="664"/>
      <x:c r="H30" s="824" t="str">
        <x:v>Annualized pre-tax synergy run-rate — excluding PPA</x:v>
      </x:c>
      <x:c r="I30" s="847" t="n">
        <x:f>I29/B24</x:f>
        <x:v>288.1442811035027</x:v>
      </x:c>
      <x:c r="J30" s="847" t="n">
        <x:f>J29/C24</x:f>
        <x:v>273.4594677681942</x:v>
      </x:c>
      <x:c r="K30" s="847" t="n">
        <x:f>K29/D24</x:f>
        <x:v>256.30184113635056</x:v>
      </x:c>
      <x:c r="L30" s="847" t="n">
        <x:f>L29/E24</x:f>
        <x:v>245.21258934790245</x:v>
      </x:c>
      <x:c r="M30" s="664" t="str">
        <x:v>Recognized synergies ÷ ownership factor</x:v>
      </x:c>
      <x:c r="N30" s="538"/>
      <x:c r="O30" s="538"/>
    </x:row>
    <x:row r="31" ht="18" customHeight="1">
      <x:c r="A31" s="824" t="str">
        <x:v>Tax benefit on financing costs</x:v>
      </x:c>
      <x:c r="B31" s="744" t="n">
        <x:f>B30*$B$7</x:f>
        <x:v>26.93021184</x:v>
      </x:c>
      <x:c r="C31" s="744" t="n">
        <x:f>C30*$B$7</x:f>
        <x:v>53.86042368</x:v>
      </x:c>
      <x:c r="D31" s="744" t="n">
        <x:f>D30*$B$7</x:f>
        <x:v>53.86042368</x:v>
      </x:c>
      <x:c r="E31" s="744" t="n">
        <x:f>E30*$B$7</x:f>
        <x:v>53.86042368</x:v>
      </x:c>
      <x:c r="F31" s="664" t="str">
        <x:v>Financing costs × buyer tax rate</x:v>
      </x:c>
      <x:c r="G31" s="664"/>
      <x:c r="H31" s="824" t="str">
        <x:v>Run-rate / CGNX revenue</x:v>
      </x:c>
      <x:c r="I31" s="848" t="n">
        <x:f>I30/'CGNX Operating Model'!F20</x:f>
        <x:v>0.23188820304482752</x:v>
      </x:c>
      <x:c r="J31" s="848" t="n">
        <x:f>J30/'CGNX Operating Model'!G20</x:f>
        <x:v>0.20376888048967975</x:v>
      </x:c>
      <x:c r="K31" s="848" t="n">
        <x:f>K30/'CGNX Operating Model'!H20</x:f>
        <x:v>0.17848957008345098</x:v>
      </x:c>
      <x:c r="L31" s="848" t="n">
        <x:f>L30/'CGNX Operating Model'!I20</x:f>
        <x:v>0.160344575830755</x:v>
      </x:c>
      <x:c r="M31" s="664" t="str">
        <x:v>Annualized run-rate ÷ target revenue</x:v>
      </x:c>
      <x:c r="N31" s="538"/>
      <x:c r="O31" s="538"/>
    </x:row>
    <x:row r="32" ht="18" customHeight="1">
      <x:c r="A32" s="824" t="str">
        <x:v>After-tax financing costs</x:v>
      </x:c>
      <x:c r="B32" s="744" t="n">
        <x:f>B30-B31</x:f>
        <x:v>101.30889216</x:v>
      </x:c>
      <x:c r="C32" s="744" t="n">
        <x:f>C30-C31</x:f>
        <x:v>202.61778432</x:v>
      </x:c>
      <x:c r="D32" s="744" t="n">
        <x:f>D30-D31</x:f>
        <x:v>202.61778432</x:v>
      </x:c>
      <x:c r="E32" s="744" t="n">
        <x:f>E30-E31</x:f>
        <x:v>202.61778432</x:v>
      </x:c>
      <x:c r="F32" s="664" t="str">
        <x:v>Pre-tax costs less tax benefit</x:v>
      </x:c>
      <x:c r="G32" s="664"/>
      <x:c r="H32" s="824" t="str">
        <x:v>Run-rate / CGNX EBITDA</x:v>
      </x:c>
      <x:c r="I32" s="848" t="n">
        <x:f>I30/'CGNX Operating Model'!F32</x:f>
        <x:v>0.7807683604202951</x:v>
      </x:c>
      <x:c r="J32" s="848" t="n">
        <x:f>J30/'CGNX Operating Model'!G32</x:f>
        <x:v>0.6680946901300975</x:v>
      </x:c>
      <x:c r="K32" s="848" t="n">
        <x:f>K30/'CGNX Operating Model'!H32</x:f>
        <x:v>0.5720819553956763</x:v>
      </x:c>
      <x:c r="L32" s="848" t="n">
        <x:f>L30/'CGNX Operating Model'!I32</x:f>
        <x:v>0.5090303994627144</x:v>
      </x:c>
      <x:c r="M32" s="664" t="str">
        <x:v>Annualized run-rate ÷ target EBITDA</x:v>
      </x:c>
      <x:c r="N32" s="538"/>
      <x:c r="O32" s="538"/>
    </x:row>
    <x:row r="33" ht="18" customHeight="1">
      <x:c r="A33" s="824" t="str">
        <x:v>After-tax purchase-accounting expense</x:v>
      </x:c>
      <x:c r="B33" s="794" t="n">
        <x:f>'Purchase Accounting'!B43</x:f>
        <x:v>235.5440405333333</x:v>
      </x:c>
      <x:c r="C33" s="794" t="n">
        <x:f>'Purchase Accounting'!C43</x:f>
        <x:v>444.50868906666665</x:v>
      </x:c>
      <x:c r="D33" s="794" t="n">
        <x:f>'Purchase Accounting'!D43</x:f>
        <x:v>391.3499050666666</x:v>
      </x:c>
      <x:c r="E33" s="794" t="n">
        <x:f>'Purchase Accounting'!E43</x:f>
        <x:v>364.77051306666664</x:v>
      </x:c>
      <x:c r="F33" s="664" t="str">
        <x:v>Purchase Accounting</x:v>
      </x:c>
      <x:c r="G33" s="664"/>
      <x:c r="H33" s="824"/>
      <x:c r="I33" s="436"/>
      <x:c r="J33" s="436"/>
      <x:c r="K33" s="436"/>
      <x:c r="L33" s="436"/>
      <x:c r="M33" s="664"/>
      <x:c r="N33" s="538"/>
      <x:c r="O33" s="538"/>
    </x:row>
    <x:row r="34" ht="18" customHeight="1">
      <x:c r="A34" s="832" t="str">
        <x:v>Pro forma net income — including PPA</x:v>
      </x:c>
      <x:c r="B34" s="844" t="n">
        <x:f>B22+B25-B32-B33</x:f>
        <x:v>1354.1930889642667</x:v>
      </x:c>
      <x:c r="C34" s="844" t="n">
        <x:f>C22+C25-C32-C33</x:f>
        <x:v>1293.3769347819332</x:v>
      </x:c>
      <x:c r="D34" s="844" t="n">
        <x:f>D22+D25-D32-D33</x:f>
        <x:v>1444.083213964627</x:v>
      </x:c>
      <x:c r="E34" s="844" t="n">
        <x:f>E22+E25-E32-E33</x:f>
        <x:v>1567.045690391145</x:v>
      </x:c>
      <x:c r="F34" s="755" t="str">
        <x:v>Buyer + target contribution − financing − PPA</x:v>
      </x:c>
      <x:c r="G34" s="755"/>
      <x:c r="H34" s="538"/>
      <x:c r="I34" s="538"/>
      <x:c r="J34" s="538"/>
      <x:c r="K34" s="538"/>
      <x:c r="L34" s="538"/>
      <x:c r="M34" s="538"/>
      <x:c r="N34" s="538"/>
      <x:c r="O34" s="538"/>
    </x:row>
    <x:row r="35" ht="18" customHeight="1">
      <x:c r="A35" s="824"/>
      <x:c r="B35" s="716"/>
      <x:c r="C35" s="716"/>
      <x:c r="D35" s="716"/>
      <x:c r="E35" s="716"/>
      <x:c r="F35" s="664"/>
      <x:c r="G35" s="664"/>
      <x:c r="H35" s="538"/>
      <x:c r="I35" s="538"/>
      <x:c r="J35" s="538"/>
      <x:c r="K35" s="538"/>
      <x:c r="L35" s="538"/>
      <x:c r="M35" s="538"/>
      <x:c r="N35" s="538"/>
      <x:c r="O35" s="538"/>
    </x:row>
    <x:row r="36" ht="18" customHeight="1">
      <x:c r="A36" s="824" t="str">
        <x:v>ROK diluted shares</x:v>
      </x:c>
      <x:c r="B36" s="560" t="n">
        <x:f>'ROK Forecast'!F13</x:f>
        <x:v>111.2976384</x:v>
      </x:c>
      <x:c r="C36" s="560" t="n">
        <x:f>'ROK Forecast'!G13</x:f>
        <x:v>110.4072572928</x:v>
      </x:c>
      <x:c r="D36" s="560" t="n">
        <x:f>'ROK Forecast'!H13</x:f>
        <x:v>109.52399923445759</x:v>
      </x:c>
      <x:c r="E36" s="560" t="n">
        <x:f>'ROK Forecast'!I13</x:f>
        <x:v>108.64780724058193</x:v>
      </x:c>
      <x:c r="F36" s="664" t="str">
        <x:v>ROK Forecast</x:v>
      </x:c>
      <x:c r="G36" s="664"/>
      <x:c r="H36" s="822" t="str">
        <x:v>RECONCILIATION CHECKS</x:v>
      </x:c>
      <x:c r="I36" s="822"/>
      <x:c r="J36" s="822"/>
      <x:c r="K36" s="822"/>
      <x:c r="L36" s="822"/>
      <x:c r="M36" s="822"/>
      <x:c r="N36" s="822"/>
      <x:c r="O36" s="822"/>
    </x:row>
    <x:row r="37" ht="18" customHeight="1">
      <x:c r="A37" s="824" t="str">
        <x:v>Weighted new shares issued</x:v>
      </x:c>
      <x:c r="B37" s="560" t="n">
        <x:f>$B$16*B24</x:f>
        <x:v>10.917306756286937</x:v>
      </x:c>
      <x:c r="C37" s="560" t="n">
        <x:f>$B$16*C24</x:f>
        <x:v>21.834613512573874</x:v>
      </x:c>
      <x:c r="D37" s="560" t="n">
        <x:f>$B$16*D24</x:f>
        <x:v>21.834613512573874</x:v>
      </x:c>
      <x:c r="E37" s="560" t="n">
        <x:f>$B$16*E24</x:f>
        <x:v>21.834613512573874</x:v>
      </x:c>
      <x:c r="F37" s="664" t="str">
        <x:v>New shares × ownership factor</x:v>
      </x:c>
      <x:c r="G37" s="664"/>
      <x:c r="H37" s="824" t="str">
        <x:v>Buyer EPS tie-out</x:v>
      </x:c>
      <x:c r="I37" s="849" t="n">
        <x:f>B39-B22/B36</x:f>
        <x:v>1.7763568394002505e-15</x:v>
      </x:c>
      <x:c r="J37" s="664" t="str">
        <x:v>Must equal zero</x:v>
      </x:c>
      <x:c r="K37" s="664"/>
      <x:c r="L37" s="664"/>
      <x:c r="M37" s="664"/>
      <x:c r="N37" s="664"/>
      <x:c r="O37" s="664"/>
    </x:row>
    <x:row r="38" ht="18" customHeight="1">
      <x:c r="A38" s="824" t="str">
        <x:v>Pro forma diluted shares</x:v>
      </x:c>
      <x:c r="B38" s="749" t="n">
        <x:f>SUM(B36:B37)</x:f>
        <x:v>122.21494515628693</x:v>
      </x:c>
      <x:c r="C38" s="749" t="n">
        <x:f>SUM(C36:C37)</x:f>
        <x:v>132.24187080537388</x:v>
      </x:c>
      <x:c r="D38" s="749" t="n">
        <x:f>SUM(D36:D37)</x:f>
        <x:v>131.35861274703146</x:v>
      </x:c>
      <x:c r="E38" s="749" t="n">
        <x:f>SUM(E36:E37)</x:f>
        <x:v>130.4824207531558</x:v>
      </x:c>
      <x:c r="F38" s="664" t="str">
        <x:v>Buyer shares plus weighted new shares</x:v>
      </x:c>
      <x:c r="G38" s="664"/>
      <x:c r="H38" s="824" t="str">
        <x:v>Pro forma net-income identity</x:v>
      </x:c>
      <x:c r="I38" s="849" t="n">
        <x:f>B34-(B22+B25-B32-B33)</x:f>
        <x:v>0</x:v>
      </x:c>
      <x:c r="J38" s="664" t="str">
        <x:v>Buyer plus target less financing and PPA</x:v>
      </x:c>
      <x:c r="K38" s="664"/>
      <x:c r="L38" s="664"/>
      <x:c r="M38" s="664"/>
      <x:c r="N38" s="664"/>
      <x:c r="O38" s="664"/>
    </x:row>
    <x:row r="39" ht="18" customHeight="1">
      <x:c r="A39" s="824" t="str">
        <x:v>ROK standalone adjusted EPS</x:v>
      </x:c>
      <x:c r="B39" s="663" t="n">
        <x:f>'ROK Forecast'!F11</x:f>
        <x:v>13.939000000000002</x:v>
      </x:c>
      <x:c r="C39" s="663" t="n">
        <x:f>'ROK Forecast'!G11</x:f>
        <x:v>14.775340000000003</x:v>
      </x:c>
      <x:c r="D39" s="663" t="n">
        <x:f>'ROK Forecast'!H11</x:f>
        <x:v>15.514107000000005</x:v>
      </x:c>
      <x:c r="E39" s="663" t="n">
        <x:f>'ROK Forecast'!I11</x:f>
        <x:v>16.289812350000005</x:v>
      </x:c>
      <x:c r="F39" s="664" t="str">
        <x:v>ROK Forecast</x:v>
      </x:c>
      <x:c r="G39" s="664"/>
      <x:c r="H39" s="824" t="str">
        <x:v>Pro forma share-count identity</x:v>
      </x:c>
      <x:c r="I39" s="849" t="n">
        <x:f>B38-SUM(B36:B37)</x:f>
        <x:v>0</x:v>
      </x:c>
      <x:c r="J39" s="664" t="str">
        <x:v>Buyer shares plus weighted new shares</x:v>
      </x:c>
      <x:c r="K39" s="664"/>
      <x:c r="L39" s="664"/>
      <x:c r="M39" s="664"/>
      <x:c r="N39" s="664"/>
      <x:c r="O39" s="664"/>
    </x:row>
    <x:row r="40" ht="18" customHeight="1">
      <x:c r="A40" s="824" t="str">
        <x:v>Pro forma EPS — including PPA</x:v>
      </x:c>
      <x:c r="B40" s="845" t="n">
        <x:f>B34/B38</x:f>
        <x:v>11.08042136117266</x:v>
      </x:c>
      <x:c r="C40" s="845" t="n">
        <x:f>C34/C38</x:f>
        <x:v>9.780388971398116</x:v>
      </x:c>
      <x:c r="D40" s="845" t="n">
        <x:f>D34/D38</x:f>
        <x:v>10.993441417850704</x:v>
      </x:c>
      <x:c r="E40" s="845" t="n">
        <x:f>E34/E38</x:f>
        <x:v>12.009630732983203</x:v>
      </x:c>
      <x:c r="F40" s="664" t="str">
        <x:v>Pro forma net income ÷ shares</x:v>
      </x:c>
      <x:c r="G40" s="664"/>
      <x:c r="H40" s="824" t="str">
        <x:v>Accretion / dilution formula</x:v>
      </x:c>
      <x:c r="I40" s="849" t="n">
        <x:f>B41-(B40/B39-1)</x:f>
        <x:v>0</x:v>
      </x:c>
      <x:c r="J40" s="664" t="str">
        <x:v>Must equal zero</x:v>
      </x:c>
      <x:c r="K40" s="664"/>
      <x:c r="L40" s="664"/>
      <x:c r="M40" s="664"/>
      <x:c r="N40" s="664"/>
      <x:c r="O40" s="664"/>
    </x:row>
    <x:row r="41" ht="18" customHeight="1">
      <x:c r="A41" s="832" t="str">
        <x:v>EPS accretion / (dilution) — including PPA</x:v>
      </x:c>
      <x:c r="B41" s="846" t="n">
        <x:f>B40/B39-1</x:f>
        <x:v>-0.20507774150422142</x:v>
      </x:c>
      <x:c r="C41" s="846" t="n">
        <x:f>C40/C39-1</x:f>
        <x:v>-0.33805997212936467</x:v>
      </x:c>
      <x:c r="D41" s="846" t="n">
        <x:f>D40/D39-1</x:f>
        <x:v>-0.2913906409275957</x:v>
      </x:c>
      <x:c r="E41" s="846" t="n">
        <x:f>E40/E39-1</x:f>
        <x:v>-0.26275205171512006</x:v>
      </x:c>
      <x:c r="F41" s="755" t="str">
        <x:v>Pro forma EPS ÷ buyer EPS − 1</x:v>
      </x:c>
      <x:c r="G41" s="755"/>
      <x:c r="H41" s="824" t="str">
        <x:v>Adjusted EPS bridge</x:v>
      </x:c>
      <x:c r="I41" s="849" t="n">
        <x:f>B43-(B34+B33)</x:f>
        <x:v>0</x:v>
      </x:c>
      <x:c r="J41" s="664" t="str">
        <x:v>Adjusted net income adds back PPA</x:v>
      </x:c>
      <x:c r="K41" s="664"/>
      <x:c r="L41" s="664"/>
      <x:c r="M41" s="664"/>
      <x:c r="N41" s="664"/>
      <x:c r="O41" s="664"/>
    </x:row>
    <x:row r="42" ht="18" customHeight="1">
      <x:c r="A42" s="824"/>
      <x:c r="B42" s="716"/>
      <x:c r="C42" s="716"/>
      <x:c r="D42" s="716"/>
      <x:c r="E42" s="716"/>
      <x:c r="F42" s="664"/>
      <x:c r="G42" s="664"/>
      <x:c r="H42" s="824" t="str">
        <x:v>Breakeven synergy produces neutral EPS</x:v>
      </x:c>
      <x:c r="I42" s="849" t="n">
        <x:f>(B34+I24*B24*(1-$B$7))/B38-B39</x:f>
        <x:v>0</x:v>
      </x:c>
      <x:c r="J42" s="664" t="str">
        <x:v>Adds required recognized synergy to headline earnings</x:v>
      </x:c>
      <x:c r="K42" s="664"/>
      <x:c r="L42" s="664"/>
      <x:c r="M42" s="664"/>
      <x:c r="N42" s="664"/>
      <x:c r="O42" s="664"/>
    </x:row>
    <x:row r="43" ht="18" customHeight="1">
      <x:c r="A43" s="824" t="str">
        <x:v>Pro forma net income — excluding PPA</x:v>
      </x:c>
      <x:c r="B43" s="744" t="n">
        <x:f>B34+B33</x:f>
        <x:v>1589.7371294976</x:v>
      </x:c>
      <x:c r="C43" s="744" t="n">
        <x:f>C34+C33</x:f>
        <x:v>1737.8856238485998</x:v>
      </x:c>
      <x:c r="D43" s="744" t="n">
        <x:f>D34+D33</x:f>
        <x:v>1835.4331190312937</x:v>
      </x:c>
      <x:c r="E43" s="744" t="n">
        <x:f>E34+E33</x:f>
        <x:v>1931.8162034578115</x:v>
      </x:c>
      <x:c r="F43" s="664" t="str">
        <x:v>Adds back after-tax PPA expense</x:v>
      </x:c>
      <x:c r="G43" s="664"/>
      <x:c r="H43" s="538"/>
      <x:c r="I43" s="538"/>
      <x:c r="J43" s="538"/>
      <x:c r="K43" s="538"/>
      <x:c r="L43" s="538"/>
      <x:c r="M43" s="538"/>
      <x:c r="N43" s="538"/>
      <x:c r="O43" s="538"/>
    </x:row>
    <x:row r="44" ht="18" customHeight="1">
      <x:c r="A44" s="824" t="str">
        <x:v>Pro forma EPS — excluding PPA</x:v>
      </x:c>
      <x:c r="B44" s="845" t="n">
        <x:f>B43/B38</x:f>
        <x:v>13.007714624955764</x:v>
      </x:c>
      <x:c r="C44" s="845" t="n">
        <x:f>C43/C38</x:f>
        <x:v>13.141719889960736</x:v>
      </x:c>
      <x:c r="D44" s="845" t="n">
        <x:f>D43/D38</x:f>
        <x:v>13.972689575870785</x:v>
      </x:c>
      <x:c r="E44" s="845" t="n">
        <x:f>E43/E38</x:f>
        <x:v>14.805183658512783</x:v>
      </x:c>
      <x:c r="F44" s="664" t="str">
        <x:v>Adjusted pro forma net income ÷ shares</x:v>
      </x:c>
      <x:c r="G44" s="664"/>
      <x:c r="H44" s="538"/>
      <x:c r="I44" s="538"/>
      <x:c r="J44" s="538"/>
      <x:c r="K44" s="538"/>
      <x:c r="L44" s="538"/>
      <x:c r="M44" s="538"/>
      <x:c r="N44" s="538"/>
      <x:c r="O44" s="538"/>
    </x:row>
    <x:row r="45" ht="18" customHeight="1">
      <x:c r="A45" s="832" t="str">
        <x:v>Adjusted accretion / (dilution) — excluding PPA</x:v>
      </x:c>
      <x:c r="B45" s="846" t="n">
        <x:f>B44/B39-1</x:f>
        <x:v>-0.06681149114314067</x:v>
      </x:c>
      <x:c r="C45" s="846" t="n">
        <x:f>C44/C39-1</x:f>
        <x:v>-0.11056396062894436</x:v>
      </x:c>
      <x:c r="D45" s="846" t="n">
        <x:f>D44/D39-1</x:f>
        <x:v>-0.09935585877609454</x:v>
      </x:c>
      <x:c r="E45" s="846" t="n">
        <x:f>E44/E39-1</x:f>
        <x:v>-0.09113847720211588</x:v>
      </x:c>
      <x:c r="F45" s="755" t="str">
        <x:v>Adjusted EPS ÷ buyer EPS − 1</x:v>
      </x:c>
      <x:c r="G45" s="755"/>
      <x:c r="H45" s="538"/>
      <x:c r="I45" s="538"/>
      <x:c r="J45" s="538"/>
      <x:c r="K45" s="538"/>
      <x:c r="L45" s="538"/>
      <x:c r="M45" s="538"/>
      <x:c r="N45" s="538"/>
      <x:c r="O45" s="538"/>
    </x:row>
    <x:row r="46" ht="18" customHeight="1">
      <x:c r="A46" s="824"/>
      <x:c r="B46" s="716"/>
      <x:c r="C46" s="716"/>
      <x:c r="D46" s="716"/>
      <x:c r="E46" s="716"/>
      <x:c r="F46" s="664"/>
      <x:c r="G46" s="664"/>
      <x:c r="H46" s="538"/>
      <x:c r="I46" s="538"/>
      <x:c r="J46" s="538"/>
      <x:c r="K46" s="538"/>
      <x:c r="L46" s="538"/>
      <x:c r="M46" s="538"/>
      <x:c r="N46" s="538"/>
      <x:c r="O46" s="538"/>
    </x:row>
    <x:row r="47" ht="18" customHeight="1">
      <x:c r="A47" s="824" t="str">
        <x:v>One-time transaction fees — after tax</x:v>
      </x:c>
      <x:c r="B47" s="794" t="n">
        <x:f>$B$15*(1-$B$7*$B$10)</x:f>
        <x:v>134.5792</x:v>
      </x:c>
      <x:c r="C47" s="794" t="n">
        <x:f>0</x:f>
        <x:v>0</x:v>
      </x:c>
      <x:c r="D47" s="794" t="n">
        <x:f>0</x:f>
        <x:v>0</x:v>
      </x:c>
      <x:c r="E47" s="794" t="n">
        <x:f>0</x:f>
        <x:v>0</x:v>
      </x:c>
      <x:c r="F47" s="664" t="str">
        <x:v>Shown only in FY2027E</x:v>
      </x:c>
      <x:c r="G47" s="664"/>
      <x:c r="H47" s="538"/>
      <x:c r="I47" s="538"/>
      <x:c r="J47" s="538"/>
      <x:c r="K47" s="538"/>
      <x:c r="L47" s="538"/>
      <x:c r="M47" s="538"/>
      <x:c r="N47" s="538"/>
      <x:c r="O47" s="538"/>
    </x:row>
    <x:row r="48" ht="18" customHeight="1">
      <x:c r="A48" s="824" t="str">
        <x:v>EPS including PPA and one-time fees</x:v>
      </x:c>
      <x:c r="B48" s="845" t="n">
        <x:f>(B34-B47)/B38</x:f>
        <x:v>9.979253252575942</x:v>
      </x:c>
      <x:c r="C48" s="845" t="n">
        <x:f>(C34-C47)/C38</x:f>
        <x:v>9.780388971398116</x:v>
      </x:c>
      <x:c r="D48" s="845" t="n">
        <x:f>(D34-D47)/D38</x:f>
        <x:v>10.993441417850704</x:v>
      </x:c>
      <x:c r="E48" s="845" t="n">
        <x:f>(E34-E47)/E38</x:f>
        <x:v>12.009630732983203</x:v>
      </x:c>
      <x:c r="F48" s="664" t="str">
        <x:v>Illustrative all-in first-year EPS</x:v>
      </x:c>
      <x:c r="G48" s="664"/>
      <x:c r="H48" s="538"/>
      <x:c r="I48" s="538"/>
      <x:c r="J48" s="538"/>
      <x:c r="K48" s="538"/>
      <x:c r="L48" s="538"/>
      <x:c r="M48" s="538"/>
      <x:c r="N48" s="538"/>
      <x:c r="O48" s="538"/>
    </x:row>
    <x:row r="49" ht="18" customHeight="1">
      <x:c r="A49" s="538"/>
      <x:c r="B49" s="538"/>
      <x:c r="C49" s="538"/>
      <x:c r="D49" s="538"/>
      <x:c r="E49" s="538"/>
      <x:c r="F49" s="538"/>
      <x:c r="G49" s="538"/>
      <x:c r="H49" s="538"/>
      <x:c r="I49" s="538"/>
      <x:c r="J49" s="538"/>
      <x:c r="K49" s="538"/>
      <x:c r="L49" s="538"/>
      <x:c r="M49" s="538"/>
      <x:c r="N49" s="538"/>
      <x:c r="O49" s="538"/>
    </x:row>
    <x:row r="50" ht="18" customHeight="1">
      <x:c r="A50" s="538"/>
      <x:c r="B50" s="538"/>
      <x:c r="C50" s="538"/>
      <x:c r="D50" s="538"/>
      <x:c r="E50" s="538"/>
      <x:c r="F50" s="538"/>
      <x:c r="G50" s="538"/>
      <x:c r="H50" s="538"/>
      <x:c r="I50" s="538"/>
      <x:c r="J50" s="538"/>
      <x:c r="K50" s="538"/>
      <x:c r="L50" s="538"/>
      <x:c r="M50" s="538"/>
      <x:c r="N50" s="538"/>
      <x:c r="O50" s="538"/>
    </x:row>
    <x:row r="51" ht="18" customHeight="1">
      <x:c r="A51" s="822" t="str">
        <x:v>ANALYST INTERPRETATION</x:v>
      </x:c>
      <x:c r="B51" s="822"/>
      <x:c r="C51" s="822"/>
      <x:c r="D51" s="822"/>
      <x:c r="E51" s="822"/>
      <x:c r="F51" s="822"/>
      <x:c r="G51" s="822"/>
      <x:c r="H51" s="822"/>
      <x:c r="I51" s="822"/>
      <x:c r="J51" s="822"/>
      <x:c r="K51" s="822"/>
      <x:c r="L51" s="822"/>
      <x:c r="M51" s="822"/>
      <x:c r="N51" s="822"/>
      <x:c r="O51" s="822"/>
    </x:row>
    <x:row r="52" ht="30" customHeight="1">
      <x:c r="A52" s="836" t="str">
        <x:v>The transaction is dilutive before synergies because Cognex’s earnings contribution is insufficient to offset the new shares issued, incremental financing costs, and purchase-accounting expense at the proposed $80 offer price.</x:v>
      </x:c>
      <x:c r="B52" s="836"/>
      <x:c r="C52" s="836"/>
      <x:c r="D52" s="836"/>
      <x:c r="E52" s="836"/>
      <x:c r="F52" s="836"/>
      <x:c r="G52" s="836"/>
      <x:c r="H52" s="836"/>
      <x:c r="I52" s="836"/>
      <x:c r="J52" s="836"/>
      <x:c r="K52" s="836"/>
      <x:c r="L52" s="836"/>
      <x:c r="M52" s="836"/>
      <x:c r="N52" s="836"/>
      <x:c r="O52" s="836"/>
    </x:row>
    <x:row r="53" ht="30" customHeight="1">
      <x:c r="A53" s="836" t="str">
        <x:v>Excluding purchase-accounting expense improves the result but does not eliminate dilution. This demonstrates that the core issue is not only non-cash amortization; the acquisition price is high relative to Cognex’s standalone earnings contribution.</x:v>
      </x:c>
      <x:c r="B53" s="836"/>
      <x:c r="C53" s="836"/>
      <x:c r="D53" s="836"/>
      <x:c r="E53" s="836"/>
      <x:c r="F53" s="836"/>
      <x:c r="G53" s="836"/>
      <x:c r="H53" s="836"/>
      <x:c r="I53" s="836"/>
      <x:c r="J53" s="836"/>
      <x:c r="K53" s="836"/>
      <x:c r="L53" s="836"/>
      <x:c r="M53" s="836"/>
      <x:c r="N53" s="836"/>
      <x:c r="O53" s="836"/>
    </x:row>
    <x:row r="54" ht="30" customHeight="1">
      <x:c r="A54" s="836" t="str">
        <x:v>The breakeven analysis calculates the cost-synergy run-rate required to restore Rockwell’s standalone EPS. It is a threshold, not a synergy forecast. The next step will independently underwrite achievable cost and revenue synergies.</x:v>
      </x:c>
      <x:c r="B54" s="836"/>
      <x:c r="C54" s="836"/>
      <x:c r="D54" s="836"/>
      <x:c r="E54" s="836"/>
      <x:c r="F54" s="836"/>
      <x:c r="G54" s="836"/>
      <x:c r="H54" s="836"/>
      <x:c r="I54" s="836"/>
      <x:c r="J54" s="836"/>
      <x:c r="K54" s="836"/>
      <x:c r="L54" s="836"/>
      <x:c r="M54" s="836"/>
      <x:c r="N54" s="836"/>
      <x:c r="O54" s="836"/>
    </x:row>
    <x:row r="55" ht="30" customHeight="1">
      <x:c r="A55" s="837" t="str">
        <x:v>Buyer standalone forecasts use Rockwell adjusted EPS guidance and analyst growth assumptions; therefore, the headline output is a merger-model EPS comparison rather than a fully audited GAAP forecast.</x:v>
      </x:c>
      <x:c r="B55" s="837"/>
      <x:c r="C55" s="837"/>
      <x:c r="D55" s="837"/>
      <x:c r="E55" s="837"/>
      <x:c r="F55" s="837"/>
      <x:c r="G55" s="837"/>
      <x:c r="H55" s="837"/>
      <x:c r="I55" s="837"/>
      <x:c r="J55" s="837"/>
      <x:c r="K55" s="837"/>
      <x:c r="L55" s="837"/>
      <x:c r="M55" s="837"/>
      <x:c r="N55" s="837"/>
      <x:c r="O55" s="837"/>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H5:O5"/>
    <x:mergeCell ref="J6:O6"/>
    <x:mergeCell ref="J7:O7"/>
    <x:mergeCell ref="J8:O8"/>
    <x:mergeCell ref="J9:O9"/>
    <x:mergeCell ref="J10:O10"/>
    <x:mergeCell ref="J11:O11"/>
    <x:mergeCell ref="J12:O12"/>
    <x:mergeCell ref="J13:O13"/>
    <x:mergeCell ref="J14:O14"/>
    <x:mergeCell ref="A19:G19"/>
    <x:mergeCell ref="H19:O19"/>
    <x:mergeCell ref="H36:O36"/>
    <x:mergeCell ref="J37:O37"/>
    <x:mergeCell ref="J38:O38"/>
    <x:mergeCell ref="J39:O39"/>
    <x:mergeCell ref="J40:O40"/>
    <x:mergeCell ref="J41:O41"/>
    <x:mergeCell ref="J42:O42"/>
    <x:mergeCell ref="A51:O51"/>
    <x:mergeCell ref="A52:O52"/>
    <x:mergeCell ref="A53:O53"/>
    <x:mergeCell ref="A54:O54"/>
    <x:mergeCell ref="A55:O55"/>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Synergies</x:v>
      </x:c>
      <x:c r="B1" s="3"/>
      <x:c r="C1" s="3"/>
      <x:c r="D1" s="3"/>
      <x:c r="E1" s="3"/>
      <x:c r="F1" s="3"/>
      <x:c r="G1" s="3"/>
      <x:c r="H1" s="3"/>
    </x:row>
    <x:row r="2" ht="30" customHeight="1">
      <x:c r="A2" s="7" t="str">
        <x:v>Cost and revenue synergies, timing, and implementation costs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Sensitivities</x:v>
      </x:c>
      <x:c r="B1" s="3"/>
      <x:c r="C1" s="3"/>
      <x:c r="D1" s="3"/>
      <x:c r="E1" s="3"/>
      <x:c r="F1" s="3"/>
      <x:c r="G1" s="3"/>
      <x:c r="H1" s="3"/>
    </x:row>
    <x:row r="2" ht="30" customHeight="1">
      <x:c r="A2" s="7" t="str">
        <x:v>Valuation and transaction sensitivity analyses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1"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851" t="str">
        <x:v>CORE TRANSACTION MODEL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32</x:v>
      </x:c>
      <x:c r="C6" s="135" t="n">
        <x:v>32</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row r="38">
      <x:c r="A38" s="484" t="str">
        <x:v>Purchase-accounting bridge</x:v>
      </x:c>
      <x:c r="B38" s="484" t="n">
        <x:f>'Purchase Accounting'!I46</x:f>
        <x:v>0</x:v>
      </x:c>
      <x:c r="C38" s="484" t="n">
        <x:v>0</x:v>
      </x:c>
      <x:c r="D38" s="484" t="n">
        <x:f>B38-C38</x:f>
        <x:v>0</x:v>
      </x:c>
      <x:c r="E38" s="484" t="n">
        <x:v>0.01</x:v>
      </x:c>
      <x:c r="F38" s="814" t="str">
        <x:f>IF(ABS(D38)&lt;=E38,"OK","CHECK")</x:f>
        <x:v>OK</x:v>
      </x:c>
      <x:c r="G38" s="484" t="str">
        <x:v>Purchase Accounting row 46</x:v>
      </x:c>
    </x:row>
    <x:row r="39">
      <x:c r="A39" s="484" t="str">
        <x:v>PPA allocation total</x:v>
      </x:c>
      <x:c r="B39" s="484" t="n">
        <x:f>'Purchase Accounting'!I47</x:f>
        <x:v>0.39</x:v>
      </x:c>
      <x:c r="C39" s="484" t="n">
        <x:v>0.39</x:v>
      </x:c>
      <x:c r="D39" s="484" t="n">
        <x:f>B39-C39</x:f>
        <x:v>0</x:v>
      </x:c>
      <x:c r="E39" s="484" t="n">
        <x:v>0.000001</x:v>
      </x:c>
      <x:c r="F39" s="814" t="str">
        <x:f>IF(ABS(D39)&lt;=E39,"OK","CHECK")</x:f>
        <x:v>OK</x:v>
      </x:c>
      <x:c r="G39" s="484" t="str">
        <x:v>Purchase Accounting row 47</x:v>
      </x:c>
    </x:row>
    <x:row r="40">
      <x:c r="A40" s="484" t="str">
        <x:v>Goodwill remains positive</x:v>
      </x:c>
      <x:c r="B40" s="484" t="n">
        <x:f>'Purchase Accounting'!I48</x:f>
        <x:v>8127.828847999998</x:v>
      </x:c>
      <x:c r="C40" s="484" t="n">
        <x:v>0</x:v>
      </x:c>
      <x:c r="D40" s="484" t="n">
        <x:f>MIN(0,B40-C40)</x:f>
        <x:v>0</x:v>
      </x:c>
      <x:c r="E40" s="484" t="n">
        <x:v>0</x:v>
      </x:c>
      <x:c r="F40" s="814" t="str">
        <x:f>IF(ABS(D40)&lt;=E40,"OK","CHECK")</x:f>
        <x:v>OK</x:v>
      </x:c>
      <x:c r="G40" s="484" t="str">
        <x:v>Purchase Accounting row 48</x:v>
      </x:c>
    </x:row>
    <x:row r="41">
      <x:c r="A41" s="484" t="str">
        <x:v>First-year PPA expense tie-out</x:v>
      </x:c>
      <x:c r="B41" s="484" t="n">
        <x:f>'Purchase Accounting'!I49</x:f>
        <x:v>0</x:v>
      </x:c>
      <x:c r="C41" s="484" t="n">
        <x:v>0</x:v>
      </x:c>
      <x:c r="D41" s="484" t="n">
        <x:f>B41-C41</x:f>
        <x:v>0</x:v>
      </x:c>
      <x:c r="E41" s="484" t="n">
        <x:v>0.01</x:v>
      </x:c>
      <x:c r="F41" s="814" t="str">
        <x:f>IF(ABS(D41)&lt;=E41,"OK","CHECK")</x:f>
        <x:v>OK</x:v>
      </x:c>
      <x:c r="G41" s="484" t="str">
        <x:v>Purchase Accounting row 49</x:v>
      </x:c>
    </x:row>
    <x:row r="42">
      <x:c r="A42" s="484" t="str">
        <x:v>DTL roll-forward</x:v>
      </x:c>
      <x:c r="B42" s="484" t="n">
        <x:f>'Purchase Accounting'!F46-'Purchase Accounting'!F47-'Purchase Accounting'!F48</x:f>
        <x:v>0</x:v>
      </x:c>
      <x:c r="C42" s="484" t="n">
        <x:v>0</x:v>
      </x:c>
      <x:c r="D42" s="484" t="n">
        <x:f>B42-C42</x:f>
        <x:v>0</x:v>
      </x:c>
      <x:c r="E42" s="484" t="n">
        <x:v>0.01</x:v>
      </x:c>
      <x:c r="F42" s="814" t="str">
        <x:f>IF(ABS(D42)&lt;=E42,"OK","CHECK")</x:f>
        <x:v>OK</x:v>
      </x:c>
      <x:c r="G42" s="484" t="str">
        <x:v>Purchase Accounting rows 46-48</x:v>
      </x:c>
    </x:row>
    <x:row r="43">
      <x:c r="A43" s="484" t="str">
        <x:v>A/D buyer EPS tie-out</x:v>
      </x:c>
      <x:c r="B43" s="484" t="n">
        <x:f>'Accretion Dilution'!I37</x:f>
        <x:v>1.7763568394002505e-15</x:v>
      </x:c>
      <x:c r="C43" s="484" t="n">
        <x:v>0</x:v>
      </x:c>
      <x:c r="D43" s="484" t="n">
        <x:f>B43-C43</x:f>
        <x:v>1.7763568394002505e-15</x:v>
      </x:c>
      <x:c r="E43" s="484" t="n">
        <x:v>0.01</x:v>
      </x:c>
      <x:c r="F43" s="853" t="str">
        <x:f>IF(ABS(D43)&lt;=E43,"OK","CHECK")</x:f>
        <x:v>OK</x:v>
      </x:c>
      <x:c r="G43" s="484" t="str">
        <x:v>Accretion Dilution row 37</x:v>
      </x:c>
    </x:row>
    <x:row r="44">
      <x:c r="A44" s="484" t="str">
        <x:v>A/D pro forma net-income identity</x:v>
      </x:c>
      <x:c r="B44" s="484" t="n">
        <x:f>'Accretion Dilution'!I38</x:f>
        <x:v>0</x:v>
      </x:c>
      <x:c r="C44" s="484" t="n">
        <x:v>0</x:v>
      </x:c>
      <x:c r="D44" s="484" t="n">
        <x:f>B44-C44</x:f>
        <x:v>0</x:v>
      </x:c>
      <x:c r="E44" s="484" t="n">
        <x:v>0.01</x:v>
      </x:c>
      <x:c r="F44" s="853" t="str">
        <x:f>IF(ABS(D44)&lt;=E44,"OK","CHECK")</x:f>
        <x:v>OK</x:v>
      </x:c>
      <x:c r="G44" s="484" t="str">
        <x:v>Accretion Dilution row 38</x:v>
      </x:c>
    </x:row>
    <x:row r="45">
      <x:c r="A45" s="484" t="str">
        <x:v>A/D pro forma share-count identity</x:v>
      </x:c>
      <x:c r="B45" s="484" t="n">
        <x:f>'Accretion Dilution'!I39</x:f>
        <x:v>0</x:v>
      </x:c>
      <x:c r="C45" s="484" t="n">
        <x:v>0</x:v>
      </x:c>
      <x:c r="D45" s="484" t="n">
        <x:f>B45-C45</x:f>
        <x:v>0</x:v>
      </x:c>
      <x:c r="E45" s="484" t="n">
        <x:v>0.01</x:v>
      </x:c>
      <x:c r="F45" s="853" t="str">
        <x:f>IF(ABS(D45)&lt;=E45,"OK","CHECK")</x:f>
        <x:v>OK</x:v>
      </x:c>
      <x:c r="G45" s="484" t="str">
        <x:v>Accretion Dilution row 39</x:v>
      </x:c>
    </x:row>
    <x:row r="46">
      <x:c r="A46" s="484" t="str">
        <x:v>A/D accretion formula</x:v>
      </x:c>
      <x:c r="B46" s="484" t="n">
        <x:f>'Accretion Dilution'!I40</x:f>
        <x:v>0</x:v>
      </x:c>
      <x:c r="C46" s="484" t="n">
        <x:v>0</x:v>
      </x:c>
      <x:c r="D46" s="484" t="n">
        <x:f>B46-C46</x:f>
        <x:v>0</x:v>
      </x:c>
      <x:c r="E46" s="484" t="n">
        <x:v>0.000001</x:v>
      </x:c>
      <x:c r="F46" s="853" t="str">
        <x:f>IF(ABS(D46)&lt;=E46,"OK","CHECK")</x:f>
        <x:v>OK</x:v>
      </x:c>
      <x:c r="G46" s="484" t="str">
        <x:v>Accretion Dilution row 40</x:v>
      </x:c>
    </x:row>
    <x:row r="47">
      <x:c r="A47" s="484" t="str">
        <x:v>A/D adjusted EPS bridge</x:v>
      </x:c>
      <x:c r="B47" s="484" t="n">
        <x:f>'Accretion Dilution'!I41</x:f>
        <x:v>0</x:v>
      </x:c>
      <x:c r="C47" s="484" t="n">
        <x:v>0</x:v>
      </x:c>
      <x:c r="D47" s="484" t="n">
        <x:f>B47-C47</x:f>
        <x:v>0</x:v>
      </x:c>
      <x:c r="E47" s="484" t="n">
        <x:v>0.01</x:v>
      </x:c>
      <x:c r="F47" s="853" t="str">
        <x:f>IF(ABS(D47)&lt;=E47,"OK","CHECK")</x:f>
        <x:v>OK</x:v>
      </x:c>
      <x:c r="G47" s="484" t="str">
        <x:v>Accretion Dilution row 41</x:v>
      </x:c>
    </x:row>
    <x:row r="48">
      <x:c r="A48" s="484" t="str">
        <x:v>A/D breakeven synergy neutral EPS</x:v>
      </x:c>
      <x:c r="B48" s="484" t="n">
        <x:f>'Accretion Dilution'!I42</x:f>
        <x:v>0</x:v>
      </x:c>
      <x:c r="C48" s="484" t="n">
        <x:v>0</x:v>
      </x:c>
      <x:c r="D48" s="484" t="n">
        <x:f>B48-C48</x:f>
        <x:v>0</x:v>
      </x:c>
      <x:c r="E48" s="484" t="n">
        <x:v>0.01</x:v>
      </x:c>
      <x:c r="F48" s="853" t="str">
        <x:f>IF(ABS(D48)&lt;=E48,"OK","CHECK")</x:f>
        <x:v>OK</x:v>
      </x:c>
      <x:c r="G48" s="484" t="str">
        <x:v>Accretion Dilution row 42</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pageMargins left="0.7" right="0.7" top="0.75" bottom="0.75" header="0.3" footer="0.3"/>
</x:worksheet>
</file>