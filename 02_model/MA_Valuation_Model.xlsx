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3135eb75d741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da136b8f742f45dc"/>
    <x:sheet xmlns:r="http://schemas.openxmlformats.org/officeDocument/2006/relationships" name="Control" sheetId="2" r:id="R9e28ad50ef134407"/>
    <x:sheet xmlns:r="http://schemas.openxmlformats.org/officeDocument/2006/relationships" name="Sources" sheetId="3" r:id="R47aa498bc14e42d4"/>
    <x:sheet xmlns:r="http://schemas.openxmlformats.org/officeDocument/2006/relationships" name="ROK Historical" sheetId="4" r:id="R4f79db0cca5c499b"/>
    <x:sheet xmlns:r="http://schemas.openxmlformats.org/officeDocument/2006/relationships" name="CGNX Historical" sheetId="5" r:id="Re4b6bc316df144fd"/>
    <x:sheet xmlns:r="http://schemas.openxmlformats.org/officeDocument/2006/relationships" name="CGNX Operating Model" sheetId="6" r:id="R1371307fc2e9433c"/>
    <x:sheet xmlns:r="http://schemas.openxmlformats.org/officeDocument/2006/relationships" name="ROK Forecast" sheetId="7" r:id="Reff15e59002b47b6"/>
    <x:sheet xmlns:r="http://schemas.openxmlformats.org/officeDocument/2006/relationships" name="DCF" sheetId="8" r:id="R79dcd6748abd4059"/>
    <x:sheet xmlns:r="http://schemas.openxmlformats.org/officeDocument/2006/relationships" name="Trading Comps" sheetId="9" r:id="R7ee3cc977f5446c1"/>
    <x:sheet xmlns:r="http://schemas.openxmlformats.org/officeDocument/2006/relationships" name="Precedent Transactions" sheetId="10" r:id="Ra7be6368a03742b4"/>
    <x:sheet xmlns:r="http://schemas.openxmlformats.org/officeDocument/2006/relationships" name="Valuation Summary" sheetId="11" r:id="Rffedc329d13341e5"/>
    <x:sheet xmlns:r="http://schemas.openxmlformats.org/officeDocument/2006/relationships" name="Sources &amp; Uses" sheetId="12" r:id="R21f8b3d42f764fb1"/>
    <x:sheet xmlns:r="http://schemas.openxmlformats.org/officeDocument/2006/relationships" name="Purchase Accounting" sheetId="13" r:id="Rb95d973d02a74884"/>
    <x:sheet xmlns:r="http://schemas.openxmlformats.org/officeDocument/2006/relationships" name="Accretion Dilution" sheetId="14" r:id="R55b3edf34b124830"/>
    <x:sheet xmlns:r="http://schemas.openxmlformats.org/officeDocument/2006/relationships" name="Synergies" sheetId="15" r:id="R74c3d50f93864252"/>
    <x:sheet xmlns:r="http://schemas.openxmlformats.org/officeDocument/2006/relationships" name="Sensitivities" sheetId="16" r:id="R18c78068b24548c5"/>
    <x:sheet xmlns:r="http://schemas.openxmlformats.org/officeDocument/2006/relationships" name="Checks" sheetId="17" r:id="R2551017defdf4ecb"/>
  </x:sheets>
</x:workbook>
</file>

<file path=xl/comments1.xml><?xml version="1.0" encoding="utf-8"?>
<x:comments xmlns:x="http://schemas.openxmlformats.org/spreadsheetml/2006/main">
  <x:authors>
    <x:author>tc={F6DB3FAA-A1EC-7D77-2866-86E73D1A637E}</x:author>
    <x:author>tc={CC4A0B00-5474-EF44-8ACC-00181B81D655}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Rockwell FY2022 and FY2025 Forms 10-K; SEC Company Facts. Total segment operating earnings is a company-defined non-GAAP measure.</x:t>
        </x:r>
      </x:text>
    </x:comment>
    <x:comment ref="G3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and financing-capacity inputs are sourced from audited Rockwell Forms 10-K.</x:t>
        </x:r>
      </x:text>
    </x:comment>
  </x:commentList>
</x:comments>
</file>

<file path=xl/comments2.xml><?xml version="1.0" encoding="utf-8"?>
<x:comments xmlns:x="http://schemas.openxmlformats.org/spreadsheetml/2006/main">
  <x:authors>
    <x:author>tc={85CE8A89-E83C-1D89-0606-CC1110311CD7}</x:author>
    <x:author>tc={F880D00B-EDF4-F6C0-6143-47B16B480219}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Cognex FY2023 and FY2025 Forms 10-K; SEC Company Facts. See the Sources worksheet for URLs and filing dates.</x:t>
        </x:r>
      </x:text>
    </x:comment>
    <x:comment ref="G4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inputs are taken from Cognex's audited Forms 10-K and reconciled to total assets, liabilities, and equity.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200" formatCode="mmm d, yyyy"/>
    <x:numFmt numFmtId="201" formatCode="0"/>
    <x:numFmt numFmtId="202" formatCode="$0.00;[Red]($0.00);-"/>
    <x:numFmt numFmtId="203" formatCode="0.0%;[Red](0.0%);-"/>
    <x:numFmt numFmtId="204" formatCode="$#,##0;[Red]($#,##0);-"/>
    <x:numFmt numFmtId="205" formatCode="yyyy&quot;A&quot;"/>
    <x:numFmt numFmtId="206" formatCode="$#,##0.0;[Red]($#,##0.0);-"/>
    <x:numFmt numFmtId="207" formatCode="0.0;[Red](0.0);-"/>
    <x:numFmt numFmtId="208" formatCode="$0.000;[Red]($0.000);-"/>
    <x:numFmt numFmtId="209" formatCode="0.0"/>
    <x:numFmt numFmtId="210" formatCode="0.0x;[Red](0.0x);-"/>
    <x:numFmt numFmtId="211" formatCode="yyyy-mm-dd"/>
    <x:numFmt numFmtId="212" formatCode="0.000;[Red](0.000);-"/>
    <x:numFmt numFmtId="213" formatCode="0.0%"/>
    <x:numFmt numFmtId="214" formatCode="$0.00"/>
    <x:numFmt numFmtId="215" formatCode="$#,##0.0"/>
    <x:numFmt numFmtId="216" formatCode="0.000"/>
  </x:numFmts>
  <x:fonts count="3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65D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8"/>
      <x:color rgb="FFFFFFFF"/>
      <x:name val="Carlito"/>
    </x:font>
    <x:font>
      <x:b/>
      <x:sz val="12"/>
      <x:color rgb="FF17365D"/>
      <x:name val="Carlito"/>
    </x:font>
    <x:font>
      <x:b/>
      <x:sz val="11"/>
      <x:color rgb="FF008000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0563C1"/>
      <x:name val="Carlito"/>
    </x:font>
    <x:font>
      <x:sz val="10"/>
      <x:color rgb="FF000000"/>
      <x:name val="Arial"/>
    </x:font>
    <x:font>
      <x:b/>
      <x:sz val="15"/>
      <x:color rgb="FFFFFFFF"/>
      <x:name val="Arial"/>
    </x:font>
    <x:font>
      <x:i/>
      <x:sz val="10"/>
      <x:color rgb="FF1F4E78"/>
      <x:name val="Arial"/>
    </x:font>
    <x:font>
      <x:b/>
      <x:sz val="10"/>
      <x:color rgb="FF000000"/>
      <x:name val="Arial"/>
    </x:font>
    <x:font>
      <x:b/>
      <x:sz val="10"/>
      <x:color rgb="FF008000"/>
      <x:name val="Arial"/>
    </x:font>
    <x:font>
      <x:b/>
      <x:sz val="10"/>
      <x:color rgb="FFFFFFFF"/>
      <x:name val="Arial"/>
    </x:font>
    <x:font>
      <x:b/>
      <x:sz val="10"/>
      <x:color rgb="FF1F4E78"/>
      <x:name val="Arial"/>
    </x:font>
    <x:font>
      <x:sz val="10"/>
      <x:color rgb="FF1F4E78"/>
      <x:name val="Arial"/>
    </x:font>
    <x:font>
      <x:i/>
      <x:sz val="11"/>
      <x:color rgb="FF1F4E78"/>
      <x:name val="Carlito"/>
    </x:font>
    <x:font>
      <x:b/>
      <x:sz val="11"/>
      <x:color rgb="FF1F4E78"/>
      <x:name val="Carlito"/>
    </x:font>
    <x:font>
      <x:sz val="10"/>
      <x:name val="Arial"/>
    </x:font>
    <x:font>
      <x:b/>
      <x:sz val="11"/>
      <x:name val="Carlito"/>
    </x:font>
    <x:font>
      <x:b/>
      <x:sz val="10"/>
      <x:name val="Arial"/>
    </x:font>
    <x:font>
      <x:sz val="10"/>
      <x:color rgb="FF008000"/>
      <x:name val="Arial"/>
    </x:font>
    <x:font>
      <x:sz val="11"/>
      <x:color rgb="FF222222"/>
      <x:name val="Carlito"/>
    </x:font>
    <x:font>
      <x:i/>
      <x:sz val="11"/>
      <x:color rgb="FF222222"/>
      <x:name val="Carlito"/>
    </x:font>
    <x:font>
      <x:b/>
      <x:sz val="11"/>
      <x:color rgb="FF222222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</x:fills>
  <x:borders count="15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A6A6A6"/>
      </x:bottom>
    </x:border>
    <x:border>
      <x:top style="thin">
        <x:color rgb="FF000000"/>
      </x:top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</x:borders>
  <x:cellStyleXfs count="1">
    <x:xf numFmtId="0" fontId="0" fillId="0" borderId="0"/>
  </x:cellStyleXfs>
  <x:cellXfs count="2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201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0" fillId="8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10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4" borderId="0" xfId="0" applyNumberFormat="1" applyFont="1" applyFill="1" applyBorder="1"/>
    <x:xf numFmtId="204" fontId="10" fillId="4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horizontal="left" vertical="center" wrapText="1"/>
    </x:xf>
    <x:xf numFmtId="0" fontId="14" fillId="9" borderId="0" xfId="0" applyNumberFormat="1" applyFont="1" applyFill="1" applyBorder="1" applyAlignment="1">
      <x:alignment horizontal="left" vertical="center"/>
    </x:xf>
    <x:xf numFmtId="0" fontId="14" fillId="9" borderId="0" xfId="0" applyNumberFormat="1" applyFont="1" applyFill="1" applyBorder="1" applyAlignment="1">
      <x:alignment horizontal="right" vertical="center"/>
    </x:xf>
    <x:xf numFmtId="0" fontId="14" fillId="9" borderId="0" xfId="0" applyNumberFormat="1" applyFont="1" applyFill="1" applyBorder="1" applyAlignment="1">
      <x:alignment horizontal="center" vertical="center"/>
    </x:xf>
    <x:xf numFmtId="0" fontId="14" fillId="9" borderId="0" xfId="0" applyNumberFormat="1" applyFont="1" applyFill="1" applyBorder="1" applyAlignment="1">
      <x:alignment horizontal="left" vertical="center" wrapText="1"/>
    </x:xf>
    <x:xf numFmtId="0" fontId="15" fillId="9" borderId="0" xfId="0" applyNumberFormat="1" applyFont="1" applyFill="1" applyBorder="1" applyAlignment="1">
      <x:alignment horizontal="left" vertical="center"/>
    </x:xf>
    <x:xf numFmtId="0" fontId="15" fillId="9" borderId="0" xfId="0" applyNumberFormat="1" applyFont="1" applyFill="1" applyBorder="1" applyAlignment="1">
      <x:alignment horizontal="right" vertical="center"/>
    </x:xf>
    <x:xf numFmtId="0" fontId="15" fillId="9" borderId="0" xfId="0" applyNumberFormat="1" applyFont="1" applyFill="1" applyBorder="1" applyAlignment="1">
      <x:alignment horizontal="center" vertical="center"/>
    </x:xf>
    <x:xf numFmtId="0" fontId="15" fillId="9" borderId="0" xfId="0" applyNumberFormat="1" applyFont="1" applyFill="1" applyBorder="1" applyAlignment="1">
      <x:alignment horizontal="left" vertical="center" wrapText="1"/>
    </x:xf>
    <x:xf numFmtId="0" fontId="14" fillId="10" borderId="0" xfId="0" applyNumberFormat="1" applyFont="1" applyFill="1" applyBorder="1" applyAlignment="1">
      <x:alignment horizontal="left" vertical="center"/>
    </x:xf>
    <x:xf numFmtId="0" fontId="14" fillId="10" borderId="0" xfId="0" applyNumberFormat="1" applyFont="1" applyFill="1" applyBorder="1" applyAlignment="1">
      <x:alignment horizontal="right" vertical="center"/>
    </x:xf>
    <x:xf numFmtId="0" fontId="14" fillId="10" borderId="0" xfId="0" applyNumberFormat="1" applyFont="1" applyFill="1" applyBorder="1" applyAlignment="1">
      <x:alignment horizontal="center" vertical="center"/>
    </x:xf>
    <x:xf numFmtId="0" fontId="14" fillId="10" borderId="0" xfId="0" applyNumberFormat="1" applyFont="1" applyFill="1" applyBorder="1" applyAlignment="1">
      <x:alignment horizontal="left" vertical="center" wrapText="1"/>
    </x:xf>
    <x:xf numFmtId="0" fontId="16" fillId="10" borderId="0" xfId="0" applyNumberFormat="1" applyFont="1" applyFill="1" applyBorder="1" applyAlignment="1">
      <x:alignment horizontal="left" vertical="center"/>
    </x:xf>
    <x:xf numFmtId="0" fontId="16" fillId="10" borderId="0" xfId="0" applyNumberFormat="1" applyFont="1" applyFill="1" applyBorder="1" applyAlignment="1">
      <x:alignment horizontal="right" vertical="center"/>
    </x:xf>
    <x:xf numFmtId="0" fontId="16" fillId="10" borderId="0" xfId="0" applyNumberFormat="1" applyFont="1" applyFill="1" applyBorder="1" applyAlignment="1">
      <x:alignment horizontal="center" vertical="center"/>
    </x:xf>
    <x:xf numFmtId="0" fontId="16" fillId="10" borderId="0" xfId="0" applyNumberFormat="1" applyFont="1" applyFill="1" applyBorder="1" applyAlignment="1">
      <x:alignment horizontal="left" vertical="center" wrapText="1"/>
    </x:xf>
    <x:xf numFmtId="0" fontId="17" fillId="0" borderId="0" xfId="0" applyNumberFormat="1" applyFont="1" applyFill="1" applyBorder="1" applyAlignment="1">
      <x:alignment horizontal="left" vertical="center"/>
    </x:xf>
    <x:xf numFmtId="0" fontId="14" fillId="11" borderId="0" xfId="0" applyNumberFormat="1" applyFont="1" applyFill="1" applyBorder="1" applyAlignment="1">
      <x:alignment horizontal="right" vertical="center"/>
    </x:xf>
    <x:xf numFmtId="0" fontId="18" fillId="11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left" vertical="center"/>
    </x:xf>
    <x:xf numFmtId="0" fontId="19" fillId="9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center" vertical="center"/>
    </x:xf>
    <x:xf numFmtId="0" fontId="19" fillId="9" borderId="0" xfId="0" applyNumberFormat="1" applyFont="1" applyFill="1" applyBorder="1" applyAlignment="1">
      <x:alignment horizontal="left" vertical="center" wrapText="1"/>
    </x:xf>
    <x:xf numFmtId="0" fontId="14" fillId="12" borderId="0" xfId="0" applyNumberFormat="1" applyFont="1" applyFill="1" applyBorder="1" applyAlignment="1">
      <x:alignment horizontal="left" vertical="center"/>
    </x:xf>
    <x:xf numFmtId="0" fontId="14" fillId="12" borderId="0" xfId="0" applyNumberFormat="1" applyFont="1" applyFill="1" applyBorder="1" applyAlignment="1">
      <x:alignment horizontal="right" vertical="center"/>
    </x:xf>
    <x:xf numFmtId="0" fontId="14" fillId="12" borderId="0" xfId="0" applyNumberFormat="1" applyFont="1" applyFill="1" applyBorder="1" applyAlignment="1">
      <x:alignment horizontal="center" vertical="center"/>
    </x:xf>
    <x:xf numFmtId="0" fontId="14" fillId="12" borderId="0" xfId="0" applyNumberFormat="1" applyFont="1" applyFill="1" applyBorder="1" applyAlignment="1">
      <x:alignment horizontal="left" vertical="center" wrapText="1"/>
    </x:xf>
    <x:xf numFmtId="0" fontId="20" fillId="12" borderId="0" xfId="0" applyNumberFormat="1" applyFont="1" applyFill="1" applyBorder="1" applyAlignment="1">
      <x:alignment horizontal="left" vertical="center"/>
    </x:xf>
    <x:xf numFmtId="0" fontId="20" fillId="12" borderId="0" xfId="0" applyNumberFormat="1" applyFont="1" applyFill="1" applyBorder="1" applyAlignment="1">
      <x:alignment horizontal="right" vertical="center"/>
    </x:xf>
    <x:xf numFmtId="0" fontId="20" fillId="12" borderId="0" xfId="0" applyNumberFormat="1" applyFont="1" applyFill="1" applyBorder="1" applyAlignment="1">
      <x:alignment horizontal="center" vertical="center"/>
    </x:xf>
    <x:xf numFmtId="0" fontId="20" fillId="12" borderId="0" xfId="0" applyNumberFormat="1" applyFont="1" applyFill="1" applyBorder="1" applyAlignment="1">
      <x:alignment horizontal="left" vertical="center" wrapText="1"/>
    </x:xf>
    <x:xf numFmtId="0" fontId="20" fillId="12" borderId="4" xfId="0" applyNumberFormat="1" applyFont="1" applyFill="1" applyBorder="1" applyAlignment="1">
      <x:alignment horizontal="left" vertical="center"/>
    </x:xf>
    <x:xf numFmtId="0" fontId="20" fillId="12" borderId="4" xfId="0" applyNumberFormat="1" applyFont="1" applyFill="1" applyBorder="1" applyAlignment="1">
      <x:alignment horizontal="right" vertical="center"/>
    </x:xf>
    <x:xf numFmtId="0" fontId="20" fillId="12" borderId="4" xfId="0" applyNumberFormat="1" applyFont="1" applyFill="1" applyBorder="1" applyAlignment="1">
      <x:alignment horizontal="center" vertical="center"/>
    </x:xf>
    <x:xf numFmtId="0" fontId="20" fillId="12" borderId="4" xfId="0" applyNumberFormat="1" applyFont="1" applyFill="1" applyBorder="1" applyAlignment="1">
      <x:alignment horizontal="left" vertical="center" wrapText="1"/>
    </x:xf>
    <x:xf numFmtId="205" fontId="20" fillId="12" borderId="4" xfId="0" applyNumberFormat="1" applyFont="1" applyFill="1" applyBorder="1" applyAlignment="1">
      <x:alignment horizontal="right" vertical="center"/>
    </x:xf>
    <x:xf numFmtId="206" fontId="14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7" fontId="14" fillId="0" borderId="0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8" fontId="14" fillId="0" borderId="0" xfId="0" applyNumberFormat="1" applyFont="1" applyFill="1" applyBorder="1" applyAlignment="1">
      <x:alignment horizontal="right" vertical="center"/>
    </x:xf>
    <x:xf numFmtId="206" fontId="17" fillId="0" borderId="0" xfId="0" applyNumberFormat="1" applyFont="1" applyFill="1" applyBorder="1" applyAlignment="1">
      <x:alignment horizontal="right" vertical="center"/>
    </x:xf>
    <x:xf numFmtId="0" fontId="17" fillId="0" borderId="5" xfId="0" applyNumberFormat="1" applyFont="1" applyFill="1" applyBorder="1" applyAlignment="1">
      <x:alignment horizontal="left" vertical="center"/>
    </x:xf>
    <x:xf numFmtId="206" fontId="17" fillId="0" borderId="5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2" fontId="17" fillId="0" borderId="5" xfId="0" applyNumberFormat="1" applyFont="1" applyFill="1" applyBorder="1" applyAlignment="1">
      <x:alignment horizontal="right" vertical="center"/>
    </x:xf>
    <x:xf numFmtId="209" fontId="14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left" vertical="center"/>
    </x:xf>
    <x:xf numFmtId="0" fontId="21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horizontal="left" vertical="center" wrapText="1"/>
    </x:xf>
    <x:xf numFmtId="0" fontId="21" fillId="0" borderId="0" xfId="0" applyNumberFormat="1" applyFont="1" applyFill="1" applyBorder="1" applyAlignment="1">
      <x:alignment horizontal="right" vertical="center" wrapText="1"/>
    </x:xf>
    <x:xf numFmtId="0" fontId="21" fillId="0" borderId="0" xfId="0" applyNumberFormat="1" applyFont="1" applyFill="1" applyBorder="1" applyAlignment="1">
      <x:alignment horizontal="center" vertical="center" wrapText="1"/>
    </x:xf>
    <x:xf numFmtId="210" fontId="14" fillId="0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0" fillId="10" borderId="0" xfId="0" applyNumberFormat="1" applyFont="1" applyFill="1" applyBorder="1"/>
    <x:xf numFmtId="0" fontId="22" fillId="10" borderId="0" xfId="0" applyNumberFormat="1" applyFont="1" applyFill="1" applyBorder="1"/>
    <x:xf numFmtId="0" fontId="0" fillId="12" borderId="0" xfId="0" applyNumberFormat="1" applyFont="1" applyFill="1" applyBorder="1"/>
    <x:xf numFmtId="0" fontId="23" fillId="12" borderId="0" xfId="0" applyNumberFormat="1" applyFont="1" applyFill="1" applyBorder="1"/>
    <x:xf numFmtId="0" fontId="23" fillId="12" borderId="4" xfId="0" applyNumberFormat="1" applyFont="1" applyFill="1" applyBorder="1"/>
    <x:xf numFmtId="211" fontId="0" fillId="0" borderId="0" xfId="0" applyNumberFormat="1" applyFont="1" applyFill="1" applyBorder="1"/>
    <x:xf numFmtId="0" fontId="19" fillId="9" borderId="0" xfId="0" applyNumberFormat="1" applyFont="1" applyFill="1" applyBorder="1"/>
    <x:xf numFmtId="0" fontId="16" fillId="10" borderId="0" xfId="0" applyNumberFormat="1" applyFont="1" applyFill="1" applyBorder="1"/>
    <x:xf numFmtId="0" fontId="20" fillId="12" borderId="4" xfId="0" applyNumberFormat="1" applyFont="1" applyFill="1" applyBorder="1"/>
    <x:xf numFmtId="0" fontId="24" fillId="0" borderId="0" xfId="0" applyNumberFormat="1" applyFont="1" applyFill="1" applyBorder="1"/>
    <x:xf numFmtId="211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211" fontId="24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vertical="top" wrapText="1"/>
    </x:xf>
    <x:xf numFmtId="211" fontId="24" fillId="0" borderId="0" xfId="0" applyNumberFormat="1" applyFont="1" applyFill="1" applyBorder="1" applyAlignment="1">
      <x:alignment vertical="top" wrapText="1"/>
    </x:xf>
    <x:xf numFmtId="0" fontId="20" fillId="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5" fillId="11" borderId="0" xfId="0" applyNumberFormat="1" applyFont="1" applyFill="1" applyBorder="1"/>
    <x:xf numFmtId="212" fontId="12" fillId="0" borderId="0" xfId="0" applyNumberFormat="1" applyFont="1" applyFill="1" applyBorder="1"/>
    <x:xf numFmtId="212" fontId="0" fillId="0" borderId="0" xfId="0" applyNumberFormat="1" applyFont="1" applyFill="1" applyBorder="1"/>
    <x:xf numFmtId="0" fontId="26" fillId="11" borderId="0" xfId="0" applyNumberFormat="1" applyFont="1" applyFill="1" applyBorder="1"/>
    <x:xf numFmtId="212" fontId="27" fillId="0" borderId="0" xfId="0" applyNumberFormat="1" applyFont="1" applyFill="1" applyBorder="1"/>
    <x:xf numFmtId="212" fontId="24" fillId="0" borderId="0" xfId="0" applyNumberFormat="1" applyFont="1" applyFill="1" applyBorder="1"/>
    <x:xf numFmtId="0" fontId="9" fillId="11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center" wrapText="1"/>
    </x:xf>
    <x:xf numFmtId="0" fontId="5" fillId="14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6" xfId="0" applyNumberFormat="1" applyFont="1" applyFill="1" applyBorder="1"/>
    <x:xf numFmtId="0" fontId="28" fillId="0" borderId="7" xfId="0" applyNumberFormat="1" applyFont="1" applyFill="1" applyBorder="1"/>
    <x:xf numFmtId="0" fontId="28" fillId="0" borderId="8" xfId="0" applyNumberFormat="1" applyFont="1" applyFill="1" applyBorder="1"/>
    <x:xf numFmtId="0" fontId="28" fillId="0" borderId="9" xfId="0" applyNumberFormat="1" applyFont="1" applyFill="1" applyBorder="1"/>
    <x:xf numFmtId="0" fontId="28" fillId="0" borderId="10" xfId="0" applyNumberFormat="1" applyFont="1" applyFill="1" applyBorder="1"/>
    <x:xf numFmtId="0" fontId="28" fillId="0" borderId="11" xfId="0" applyNumberFormat="1" applyFont="1" applyFill="1" applyBorder="1"/>
    <x:xf numFmtId="0" fontId="28" fillId="0" borderId="12" xfId="0" applyNumberFormat="1" applyFont="1" applyFill="1" applyBorder="1"/>
    <x:xf numFmtId="0" fontId="28" fillId="0" borderId="13" xfId="0" applyNumberFormat="1" applyFont="1" applyFill="1" applyBorder="1"/>
    <x:xf numFmtId="0" fontId="28" fillId="0" borderId="14" xfId="0" applyNumberFormat="1" applyFont="1" applyFill="1" applyBorder="1"/>
    <x:xf numFmtId="0" fontId="28" fillId="0" borderId="6" xfId="0" applyNumberFormat="1" applyFont="1" applyFill="1" applyBorder="1" applyAlignment="1">
      <x:alignment vertical="center"/>
    </x:xf>
    <x:xf numFmtId="0" fontId="28" fillId="0" borderId="7" xfId="0" applyNumberFormat="1" applyFont="1" applyFill="1" applyBorder="1" applyAlignment="1">
      <x:alignment vertical="center"/>
    </x:xf>
    <x:xf numFmtId="0" fontId="28" fillId="0" borderId="8" xfId="0" applyNumberFormat="1" applyFont="1" applyFill="1" applyBorder="1" applyAlignment="1">
      <x:alignment vertical="center"/>
    </x:xf>
    <x:xf numFmtId="0" fontId="28" fillId="0" borderId="9" xfId="0" applyNumberFormat="1" applyFont="1" applyFill="1" applyBorder="1" applyAlignment="1">
      <x:alignment vertical="center"/>
    </x:xf>
    <x:xf numFmtId="0" fontId="28" fillId="0" borderId="10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0" fontId="28" fillId="0" borderId="12" xfId="0" applyNumberFormat="1" applyFont="1" applyFill="1" applyBorder="1" applyAlignment="1">
      <x:alignment vertical="center"/>
    </x:xf>
    <x:xf numFmtId="0" fontId="28" fillId="0" borderId="13" xfId="0" applyNumberFormat="1" applyFont="1" applyFill="1" applyBorder="1" applyAlignment="1">
      <x:alignment vertical="center"/>
    </x:xf>
    <x:xf numFmtId="0" fontId="28" fillId="0" borderId="14" xfId="0" applyNumberFormat="1" applyFont="1" applyFill="1" applyBorder="1" applyAlignment="1">
      <x:alignment vertical="center"/>
    </x:xf>
    <x:xf numFmtId="0" fontId="28" fillId="15" borderId="7" xfId="0" applyNumberFormat="1" applyFont="1" applyFill="1" applyBorder="1" applyAlignment="1">
      <x:alignment vertical="center"/>
    </x:xf>
    <x:xf numFmtId="0" fontId="28" fillId="15" borderId="10" xfId="0" applyNumberFormat="1" applyFont="1" applyFill="1" applyBorder="1" applyAlignment="1">
      <x:alignment vertical="center"/>
    </x:xf>
    <x:xf numFmtId="0" fontId="28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vertical="center"/>
    </x:xf>
    <x:xf numFmtId="0" fontId="10" fillId="15" borderId="10" xfId="0" applyNumberFormat="1" applyFont="1" applyFill="1" applyBorder="1" applyAlignment="1">
      <x:alignment vertical="center"/>
    </x:xf>
    <x:xf numFmtId="0" fontId="10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horizontal="right" vertical="center"/>
    </x:xf>
    <x:xf numFmtId="0" fontId="10" fillId="15" borderId="10" xfId="0" applyNumberFormat="1" applyFont="1" applyFill="1" applyBorder="1" applyAlignment="1">
      <x:alignment horizontal="right" vertical="center"/>
    </x:xf>
    <x:xf numFmtId="0" fontId="10" fillId="15" borderId="13" xfId="0" applyNumberFormat="1" applyFont="1" applyFill="1" applyBorder="1" applyAlignment="1">
      <x:alignment horizontal="right" vertical="center"/>
    </x:xf>
    <x:xf numFmtId="213" fontId="10" fillId="15" borderId="7" xfId="0" applyNumberFormat="1" applyFont="1" applyFill="1" applyBorder="1" applyAlignment="1">
      <x:alignment horizontal="right" vertical="center"/>
    </x:xf>
    <x:xf numFmtId="213" fontId="10" fillId="15" borderId="10" xfId="0" applyNumberFormat="1" applyFont="1" applyFill="1" applyBorder="1" applyAlignment="1">
      <x:alignment horizontal="right" vertical="center"/>
    </x:xf>
    <x:xf numFmtId="213" fontId="10" fillId="15" borderId="13" xfId="0" applyNumberFormat="1" applyFont="1" applyFill="1" applyBorder="1" applyAlignment="1">
      <x:alignment horizontal="right" vertical="center"/>
    </x:xf>
    <x:xf numFmtId="214" fontId="10" fillId="15" borderId="1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29" fillId="16" borderId="0" xfId="0" applyNumberFormat="1" applyFont="1" applyFill="1" applyBorder="1"/>
    <x:xf numFmtId="0" fontId="0" fillId="17" borderId="0" xfId="0" applyNumberFormat="1" applyFont="1" applyFill="1" applyBorder="1"/>
    <x:xf numFmtId="0" fontId="30" fillId="17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2" fillId="0" borderId="10" xfId="0" applyNumberFormat="1" applyFont="1" applyFill="1" applyBorder="1"/>
    <x:xf numFmtId="0" fontId="12" fillId="0" borderId="11" xfId="0" applyNumberFormat="1" applyFont="1" applyFill="1" applyBorder="1"/>
    <x:xf numFmtId="0" fontId="12" fillId="0" borderId="13" xfId="0" applyNumberFormat="1" applyFont="1" applyFill="1" applyBorder="1"/>
    <x:xf numFmtId="0" fontId="12" fillId="0" borderId="14" xfId="0" applyNumberFormat="1" applyFont="1" applyFill="1" applyBorder="1"/>
    <x:xf numFmtId="213" fontId="12" fillId="0" borderId="7" xfId="0" applyNumberFormat="1" applyFont="1" applyFill="1" applyBorder="1"/>
    <x:xf numFmtId="213" fontId="12" fillId="0" borderId="10" xfId="0" applyNumberFormat="1" applyFont="1" applyFill="1" applyBorder="1"/>
    <x:xf numFmtId="213" fontId="12" fillId="0" borderId="13" xfId="0" applyNumberFormat="1" applyFont="1" applyFill="1" applyBorder="1"/>
    <x:xf numFmtId="0" fontId="12" fillId="0" borderId="8" xfId="0" applyNumberFormat="1" applyFont="1" applyFill="1" applyBorder="1" applyAlignment="1">
      <x:alignment horizontal="center"/>
    </x:xf>
    <x:xf numFmtId="0" fontId="12" fillId="0" borderId="11" xfId="0" applyNumberFormat="1" applyFont="1" applyFill="1" applyBorder="1" applyAlignment="1">
      <x:alignment horizontal="center"/>
    </x:xf>
    <x:xf numFmtId="0" fontId="12" fillId="0" borderId="14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29" fillId="15" borderId="0" xfId="0" applyNumberFormat="1" applyFont="1" applyFill="1" applyBorder="1"/>
    <x:xf numFmtId="0" fontId="29" fillId="15" borderId="0" xfId="0" applyNumberFormat="1" applyFont="1" applyFill="1" applyBorder="1" applyAlignment="1">
      <x:alignment wrapText="1"/>
    </x:xf>
    <x:xf numFmtId="0" fontId="29" fillId="15" borderId="0" xfId="0" applyNumberFormat="1" applyFont="1" applyFill="1" applyBorder="1" applyAlignment="1">
      <x:alignment vertical="center" wrapText="1"/>
    </x:xf>
    <x:xf numFmtId="215" fontId="0" fillId="0" borderId="0" xfId="0" applyNumberFormat="1" applyFont="1" applyFill="1" applyBorder="1"/>
    <x:xf numFmtId="209" fontId="0" fillId="0" borderId="0" xfId="0" applyNumberFormat="1" applyFont="1" applyFill="1" applyBorder="1"/>
    <x:xf numFmtId="214" fontId="0" fillId="0" borderId="0" xfId="0" applyNumberFormat="1" applyFont="1" applyFill="1" applyBorder="1"/>
    <x:xf numFmtId="213" fontId="0" fillId="0" borderId="0" xfId="0" applyNumberFormat="1" applyFont="1" applyFill="1" applyBorder="1"/>
    <x:xf numFmtId="215" fontId="12" fillId="0" borderId="0" xfId="0" applyNumberFormat="1" applyFont="1" applyFill="1" applyBorder="1"/>
    <x:xf numFmtId="213" fontId="12" fillId="0" borderId="0" xfId="0" applyNumberFormat="1" applyFont="1" applyFill="1" applyBorder="1"/>
    <x:xf numFmtId="209" fontId="12" fillId="0" borderId="0" xfId="0" applyNumberFormat="1" applyFont="1" applyFill="1" applyBorder="1"/>
    <x:xf numFmtId="214" fontId="12" fillId="0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215" fontId="28" fillId="0" borderId="0" xfId="0" applyNumberFormat="1" applyFont="1" applyFill="1" applyBorder="1"/>
    <x:xf numFmtId="213" fontId="28" fillId="0" borderId="0" xfId="0" applyNumberFormat="1" applyFont="1" applyFill="1" applyBorder="1"/>
    <x:xf numFmtId="209" fontId="28" fillId="0" borderId="0" xfId="0" applyNumberFormat="1" applyFont="1" applyFill="1" applyBorder="1"/>
    <x:xf numFmtId="214" fontId="28" fillId="0" borderId="0" xfId="0" applyNumberFormat="1" applyFont="1" applyFill="1" applyBorder="1"/>
    <x:xf numFmtId="0" fontId="30" fillId="13" borderId="0" xfId="0" applyNumberFormat="1" applyFont="1" applyFill="1" applyBorder="1" applyAlignment="1">
      <x:alignment vertical="center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5" fillId="14" borderId="7" xfId="0" applyNumberFormat="1" applyFont="1" applyFill="1" applyBorder="1" applyAlignment="1">
      <x:alignment horizontal="center" vertical="center" wrapText="1"/>
    </x:xf>
    <x:xf numFmtId="0" fontId="5" fillId="14" borderId="8" xfId="0" applyNumberFormat="1" applyFont="1" applyFill="1" applyBorder="1" applyAlignment="1">
      <x:alignment horizontal="center" vertical="center" wrapText="1"/>
    </x:xf>
    <x:xf numFmtId="215" fontId="12" fillId="0" borderId="10" xfId="0" applyNumberFormat="1" applyFont="1" applyFill="1" applyBorder="1"/>
    <x:xf numFmtId="215" fontId="28" fillId="0" borderId="10" xfId="0" applyNumberFormat="1" applyFont="1" applyFill="1" applyBorder="1"/>
    <x:xf numFmtId="213" fontId="28" fillId="0" borderId="10" xfId="0" applyNumberFormat="1" applyFont="1" applyFill="1" applyBorder="1"/>
    <x:xf numFmtId="209" fontId="12" fillId="0" borderId="10" xfId="0" applyNumberFormat="1" applyFont="1" applyFill="1" applyBorder="1"/>
    <x:xf numFmtId="209" fontId="28" fillId="0" borderId="10" xfId="0" applyNumberFormat="1" applyFont="1" applyFill="1" applyBorder="1"/>
    <x:xf numFmtId="214" fontId="12" fillId="0" borderId="10" xfId="0" applyNumberFormat="1" applyFont="1" applyFill="1" applyBorder="1"/>
    <x:xf numFmtId="214" fontId="28" fillId="0" borderId="10" xfId="0" applyNumberFormat="1" applyFont="1" applyFill="1" applyBorder="1"/>
    <x:xf numFmtId="0" fontId="5" fillId="13" borderId="9" xfId="0" applyNumberFormat="1" applyFont="1" applyFill="1" applyBorder="1" applyAlignment="1">
      <x:alignment vertical="center"/>
    </x:xf>
    <x:xf numFmtId="0" fontId="9" fillId="13" borderId="10" xfId="0" applyNumberFormat="1" applyFont="1" applyFill="1" applyBorder="1" applyAlignment="1">
      <x:alignment vertical="center"/>
    </x:xf>
    <x:xf numFmtId="0" fontId="30" fillId="13" borderId="10" xfId="0" applyNumberFormat="1" applyFont="1" applyFill="1" applyBorder="1" applyAlignment="1">
      <x:alignment vertical="center"/>
    </x:xf>
    <x:xf numFmtId="0" fontId="5" fillId="13" borderId="11" xfId="0" applyNumberFormat="1" applyFont="1" applyFill="1" applyBorder="1" applyAlignment="1">
      <x:alignment vertical="center"/>
    </x:xf>
    <x:xf numFmtId="213" fontId="28" fillId="0" borderId="13" xfId="0" applyNumberFormat="1" applyFont="1" applyFill="1" applyBorder="1"/>
    <x:xf numFmtId="0" fontId="1" fillId="13" borderId="0" xfId="0" applyNumberFormat="1" applyFont="1" applyFill="1" applyBorder="1" applyAlignment="1">
      <x:alignment vertical="center" wrapText="1"/>
    </x:xf>
    <x:xf numFmtId="0" fontId="30" fillId="13" borderId="9" xfId="0" applyNumberFormat="1" applyFont="1" applyFill="1" applyBorder="1" applyAlignment="1">
      <x:alignment vertical="center"/>
    </x:xf>
    <x:xf numFmtId="0" fontId="30" fillId="0" borderId="9" xfId="0" applyNumberFormat="1" applyFont="1" applyFill="1" applyBorder="1"/>
    <x:xf numFmtId="215" fontId="30" fillId="0" borderId="10" xfId="0" applyNumberFormat="1" applyFont="1" applyFill="1" applyBorder="1"/>
    <x:xf numFmtId="213" fontId="30" fillId="0" borderId="10" xfId="0" applyNumberFormat="1" applyFont="1" applyFill="1" applyBorder="1"/>
    <x:xf numFmtId="0" fontId="30" fillId="0" borderId="12" xfId="0" applyNumberFormat="1" applyFont="1" applyFill="1" applyBorder="1"/>
    <x:xf numFmtId="213" fontId="30" fillId="0" borderId="13" xfId="0" applyNumberFormat="1" applyFont="1" applyFill="1" applyBorder="1"/>
    <x:xf numFmtId="216" fontId="0" fillId="0" borderId="7" xfId="0" applyNumberFormat="1" applyFont="1" applyFill="1" applyBorder="1"/>
    <x:xf numFmtId="216" fontId="0" fillId="0" borderId="10" xfId="0" applyNumberFormat="1" applyFont="1" applyFill="1" applyBorder="1"/>
    <x:xf numFmtId="216" fontId="0" fillId="0" borderId="13" xfId="0" applyNumberFormat="1" applyFont="1" applyFill="1" applyBorder="1"/>
  </x:cellXfs>
  <x:cellStyles count="1">
    <x:cellStyle name="Normal" xfId="0"/>
  </x:cellStyles>
  <x:dxfs count="4">
    <x:dxf>
      <x:font>
        <x:b/>
        <x:color rgb="FF0080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C00000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134203ff5548f6" /><Relationship Type="http://schemas.openxmlformats.org/officeDocument/2006/relationships/theme" Target="/xl/theme/theme1.xml" Id="R1dcb20bf47d54d0e" /><Relationship Type="http://schemas.openxmlformats.org/officeDocument/2006/relationships/sharedStrings" Target="/xl/sharedStrings.xml" Id="R1e912763c94046e7" /><Relationship Type="http://schemas.openxmlformats.org/officeDocument/2006/relationships/worksheet" Target="/xl/worksheets/sheet1.xml" Id="Rda136b8f742f45dc" /><Relationship Type="http://schemas.openxmlformats.org/officeDocument/2006/relationships/worksheet" Target="/xl/worksheets/sheet2.xml" Id="R9e28ad50ef134407" /><Relationship Type="http://schemas.openxmlformats.org/officeDocument/2006/relationships/worksheet" Target="/xl/worksheets/sheet3.xml" Id="R47aa498bc14e42d4" /><Relationship Type="http://schemas.openxmlformats.org/officeDocument/2006/relationships/worksheet" Target="/xl/worksheets/sheet4.xml" Id="R4f79db0cca5c499b" /><Relationship Type="http://schemas.openxmlformats.org/officeDocument/2006/relationships/worksheet" Target="/xl/worksheets/sheet5.xml" Id="Re4b6bc316df144fd" /><Relationship Type="http://schemas.openxmlformats.org/officeDocument/2006/relationships/worksheet" Target="/xl/worksheets/sheet6.xml" Id="R1371307fc2e9433c" /><Relationship Type="http://schemas.openxmlformats.org/officeDocument/2006/relationships/worksheet" Target="/xl/worksheets/sheet7.xml" Id="Reff15e59002b47b6" /><Relationship Type="http://schemas.openxmlformats.org/officeDocument/2006/relationships/worksheet" Target="/xl/worksheets/sheet8.xml" Id="R79dcd6748abd4059" /><Relationship Type="http://schemas.openxmlformats.org/officeDocument/2006/relationships/worksheet" Target="/xl/worksheets/sheet9.xml" Id="R7ee3cc977f5446c1" /><Relationship Type="http://schemas.openxmlformats.org/officeDocument/2006/relationships/worksheet" Target="/xl/worksheets/sheet10.xml" Id="Ra7be6368a03742b4" /><Relationship Type="http://schemas.openxmlformats.org/officeDocument/2006/relationships/worksheet" Target="/xl/worksheets/sheet11.xml" Id="Rffedc329d13341e5" /><Relationship Type="http://schemas.openxmlformats.org/officeDocument/2006/relationships/worksheet" Target="/xl/worksheets/sheet12.xml" Id="R21f8b3d42f764fb1" /><Relationship Type="http://schemas.openxmlformats.org/officeDocument/2006/relationships/worksheet" Target="/xl/worksheets/sheet13.xml" Id="Rb95d973d02a74884" /><Relationship Type="http://schemas.openxmlformats.org/officeDocument/2006/relationships/worksheet" Target="/xl/worksheets/sheet14.xml" Id="R55b3edf34b124830" /><Relationship Type="http://schemas.openxmlformats.org/officeDocument/2006/relationships/worksheet" Target="/xl/worksheets/sheet15.xml" Id="R74c3d50f93864252" /><Relationship Type="http://schemas.openxmlformats.org/officeDocument/2006/relationships/worksheet" Target="/xl/worksheets/sheet16.xml" Id="R18c78068b24548c5" /><Relationship Type="http://schemas.openxmlformats.org/officeDocument/2006/relationships/worksheet" Target="/xl/worksheets/sheet17.xml" Id="R2551017defdf4ecb" /><Relationship Type="http://schemas.microsoft.com/office/2017/10/relationships/person" Target="/xl/persons/person.xml" Id="Raab08893a8eb4b83" /></Relationships>
</file>

<file path=xl/persons/person.xml><?xml version="1.0" encoding="utf-8"?>
<xltc:personList xmlns:xltc="http://schemas.microsoft.com/office/spreadsheetml/2018/threadedcomments">
  <xltc:person displayName="Rohan Dravid" id="{51843E4D-6D01-459A-8247-31E61F25B311}"/>
  <xltc:person displayName="Rohan Dravid" id="{80509790-5AC7-4B70-9CDF-14DA69F6182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G7" dT="2026-08-21T04:02:47.572" personId="{51843E4D-6D01-459A-8247-31E61F25B311}" id="{F6DB3FAA-A1EC-7D77-2866-86E73D1A637E}">
    <xltc:text>Sources: Rockwell FY2022 and FY2025 Forms 10-K; SEC Company Facts. Total segment operating earnings is a company-defined non-GAAP measure.</xltc:text>
  </xltc:threadedComment>
  <xltc:threadedComment ref="G35" dT="2026-08-21T04:02:47.572" personId="{51843E4D-6D01-459A-8247-31E61F25B311}" id="{CC4A0B00-5474-EF44-8ACC-00181B81D655}">
    <xltc:text>Balance sheet and financing-capacity inputs are sourced from audited Rockwell Forms 10-K.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7" dT="2026-08-21T04:02:47.532" personId="{51843E4D-6D01-459A-8247-31E61F25B311}" id="{85CE8A89-E83C-1D89-0606-CC1110311CD7}">
    <xltc:text>Sources: Cognex FY2023 and FY2025 Forms 10-K; SEC Company Facts. See the Sources worksheet for URLs and filing dates.</xltc:text>
  </xltc:threadedComment>
  <xltc:threadedComment ref="G47" dT="2026-08-21T04:02:47.534" personId="{51843E4D-6D01-459A-8247-31E61F25B311}" id="{F880D00B-EDF4-F6C0-6143-47B16B480219}">
    <xltc:text>Balance sheet inputs are taken from Cognex's audited Forms 10-K and reconciled to total assets, liabilities, and equity.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f5d86d9b2c2b49fa" /><Relationship Type="http://schemas.openxmlformats.org/officeDocument/2006/relationships/vmlDrawing" Target="/xl/drawings/vmldrawing.vml" Id="R4027c3524d5d43df" /><Relationship Type="http://schemas.microsoft.com/office/2017/10/relationships/threadedComment" Target="/xl/threadedcomments/threadedcomment.xml" Id="R88878de1f6ae4d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2.xml" Id="R4fc47bf1c32c42a2" /><Relationship Type="http://schemas.openxmlformats.org/officeDocument/2006/relationships/vmlDrawing" Target="/xl/drawings/vmldrawing2.vml" Id="R438496ca798f4fce" /><Relationship Type="http://schemas.microsoft.com/office/2017/10/relationships/threadedComment" Target="/xl/threadedcomments/threadedcomment2.xml" Id="R09cbcd8f76234e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66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8" t="str">
        <x:v>M&amp;A Valuation &amp; Transaction Analysis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0" t="str">
        <x:v>Hypothetical Rockwell Automation Acquisition of Cognex</x:v>
      </x:c>
      <x:c r="B3" s="20"/>
      <x:c r="C3" s="20"/>
      <x:c r="D3" s="20"/>
      <x:c r="E3" s="20"/>
      <x:c r="F3" s="20"/>
      <x:c r="G3" s="20"/>
      <x:c r="H3" s="20"/>
    </x:row>
    <x:row r="5">
      <x:c r="A5" s="23" t="str">
        <x:v>Model version</x:v>
      </x:c>
      <x:c r="B5" t="str">
        <x:v>0.2 — historicals complete</x:v>
      </x:c>
      <x:c r="E5" s="12" t="str">
        <x:v>FORMATTING LEGEND</x:v>
      </x:c>
      <x:c r="F5" s="12"/>
      <x:c r="G5" s="12"/>
      <x:c r="H5" s="12"/>
    </x:row>
    <x:row r="6">
      <x:c r="A6" s="23" t="str">
        <x:v>Analysis date</x:v>
      </x:c>
      <x:c r="B6" s="22" t="n">
        <x:v>46254.5</x:v>
      </x:c>
      <x:c r="E6" s="29" t="str">
        <x:v>Blue font</x:v>
      </x:c>
      <x:c r="F6" t="str">
        <x:v>Editable assumption</x:v>
      </x:c>
    </x:row>
    <x:row r="7">
      <x:c r="A7" s="23" t="str">
        <x:v>Units</x:v>
      </x:c>
      <x:c r="B7" t="str">
        <x:v>USD millions, except per-share data</x:v>
      </x:c>
      <x:c r="E7" s="30" t="str">
        <x:v>Black font</x:v>
      </x:c>
      <x:c r="F7" t="str">
        <x:v>Same-sheet formula</x:v>
      </x:c>
    </x:row>
    <x:row r="8">
      <x:c r="A8" s="23" t="str">
        <x:v>Selected case</x:v>
      </x:c>
      <x:c r="B8" t="str">
        <x:v>Base</x:v>
      </x:c>
      <x:c r="E8" s="31" t="str">
        <x:v>Green font</x:v>
      </x:c>
      <x:c r="F8" t="str">
        <x:v>Cross-sheet formula</x:v>
      </x:c>
    </x:row>
    <x:row r="9">
      <x:c r="A9" s="23" t="str">
        <x:v>Model status</x:v>
      </x:c>
      <x:c r="B9" s="136" t="str">
        <x:f>'Checks'!B3</x:f>
        <x:v>OPERATING FORECAST COMPLETE</x:v>
      </x:c>
      <x:c r="E9" s="9" t="str">
        <x:v>Yellow fill</x:v>
      </x:c>
      <x:c r="F9" t="str">
        <x:v>Required update</x:v>
      </x:c>
    </x:row>
    <x:row r="10">
      <x:c r="A10" s="23" t="str">
        <x:v>Transaction status</x:v>
      </x:c>
      <x:c r="B10" t="str">
        <x:v>Hypothetical / educational analysis</x:v>
      </x:c>
      <x:c r="E10" s="32" t="str">
        <x:v>Red / green fill</x:v>
      </x:c>
      <x:c r="F10" t="str">
        <x:v>Failed / passed check</x:v>
      </x:c>
    </x:row>
    <x:row r="12">
      <x:c r="A12" s="12" t="str">
        <x:v>MODEL NAVIGATION</x:v>
      </x:c>
      <x:c r="B12" s="12"/>
      <x:c r="C12" s="12"/>
      <x:c r="D12" s="12"/>
      <x:c r="E12" s="12"/>
      <x:c r="F12" s="12"/>
      <x:c r="G12" s="12"/>
      <x:c r="H12" s="12"/>
    </x:row>
    <x:row r="13">
      <x:c r="A13" s="25" t="str">
        <x:v>Order</x:v>
      </x:c>
      <x:c r="B13" s="26" t="str">
        <x:v>Worksheet</x:v>
      </x:c>
      <x:c r="C13" s="27" t="str">
        <x:v>Purpose</x:v>
      </x:c>
    </x:row>
    <x:row r="14">
      <x:c r="A14" s="28" t="n">
        <x:v>1</x:v>
      </x:c>
      <x:c r="B14" s="13" t="str">
        <x:v>Cover</x:v>
      </x:c>
      <x:c r="C14" s="14" t="str">
        <x:v>Model navigation, status, version, conventions, and high-level outputs</x:v>
      </x:c>
    </x:row>
    <x:row r="15">
      <x:c r="A15" s="28" t="n">
        <x:v>2</x:v>
      </x:c>
      <x:c r="B15" s="13" t="str">
        <x:v>Control</x:v>
      </x:c>
      <x:c r="C15" s="14" t="str">
        <x:v>Scenario selection and global transaction assumptions</x:v>
      </x:c>
    </x:row>
    <x:row r="16">
      <x:c r="A16" s="28" t="n">
        <x:v>3</x:v>
      </x:c>
      <x:c r="B16" s="13" t="str">
        <x:v>Sources</x:v>
      </x:c>
      <x:c r="C16" s="14" t="str">
        <x:v>Source IDs, document metadata, URLs, and model uses</x:v>
      </x:c>
    </x:row>
    <x:row r="17">
      <x:c r="A17" s="28" t="n">
        <x:v>4</x:v>
      </x:c>
      <x:c r="B17" s="13" t="str">
        <x:v>ROK Historical</x:v>
      </x:c>
      <x:c r="C17" s="14" t="str">
        <x:v>Rockwell historical financial statements and operating KPIs</x:v>
      </x:c>
    </x:row>
    <x:row r="18">
      <x:c r="A18" s="28" t="n">
        <x:v>5</x:v>
      </x:c>
      <x:c r="B18" s="13" t="str">
        <x:v>CGNX Historical</x:v>
      </x:c>
      <x:c r="C18" s="14" t="str">
        <x:v>Cognex historical financial statements and operating KPIs</x:v>
      </x:c>
    </x:row>
    <x:row r="19">
      <x:c r="A19" s="28" t="n">
        <x:v>6</x:v>
      </x:c>
      <x:c r="B19" s="13" t="str">
        <x:v>CGNX Operating Model</x:v>
      </x:c>
      <x:c r="C19" s="14" t="str">
        <x:v>Cognex five-year driver-based forecast</x:v>
      </x:c>
    </x:row>
    <x:row r="20">
      <x:c r="A20" s="28" t="n">
        <x:v>7</x:v>
      </x:c>
      <x:c r="B20" s="13" t="str">
        <x:v>ROK Forecast</x:v>
      </x:c>
      <x:c r="C20" s="14" t="str">
        <x:v>Rockwell forecast metrics required for transaction analysis</x:v>
      </x:c>
    </x:row>
    <x:row r="21">
      <x:c r="A21" s="28" t="n">
        <x:v>8</x:v>
      </x:c>
      <x:c r="B21" s="13" t="str">
        <x:v>DCF</x:v>
      </x:c>
      <x:c r="C21" s="14" t="str">
        <x:v>Standalone discounted cash flow valuation of Cognex</x:v>
      </x:c>
    </x:row>
    <x:row r="22">
      <x:c r="A22" s="28" t="n">
        <x:v>9</x:v>
      </x:c>
      <x:c r="B22" s="13" t="str">
        <x:v>Trading Comps</x:v>
      </x:c>
      <x:c r="C22" s="14" t="str">
        <x:v>Public-company benchmarking and implied valuation</x:v>
      </x:c>
    </x:row>
    <x:row r="23">
      <x:c r="A23" s="28" t="n">
        <x:v>10</x:v>
      </x:c>
      <x:c r="B23" s="13" t="str">
        <x:v>Precedent Transactions</x:v>
      </x:c>
      <x:c r="C23" s="14" t="str">
        <x:v>Comparable acquisition multiples and premiums</x:v>
      </x:c>
    </x:row>
    <x:row r="24">
      <x:c r="A24" s="28" t="n">
        <x:v>11</x:v>
      </x:c>
      <x:c r="B24" s="13" t="str">
        <x:v>Valuation Summary</x:v>
      </x:c>
      <x:c r="C24" s="14" t="str">
        <x:v>Valuation synthesis, football field, and offer framework</x:v>
      </x:c>
    </x:row>
    <x:row r="25">
      <x:c r="A25" s="28" t="n">
        <x:v>12</x:v>
      </x:c>
      <x:c r="B25" s="13" t="str">
        <x:v>Sources &amp; Uses</x:v>
      </x:c>
      <x:c r="C25" s="14" t="str">
        <x:v>Purchase price, transaction uses, and funding sources</x:v>
      </x:c>
    </x:row>
    <x:row r="26">
      <x:c r="A26" s="28" t="n">
        <x:v>13</x:v>
      </x:c>
      <x:c r="B26" s="13" t="str">
        <x:v>Purchase Accounting</x:v>
      </x:c>
      <x:c r="C26" s="14" t="str">
        <x:v>Goodwill, intangible assets, amortization, and tax effects</x:v>
      </x:c>
    </x:row>
    <x:row r="27">
      <x:c r="A27" s="28" t="n">
        <x:v>14</x:v>
      </x:c>
      <x:c r="B27" s="13" t="str">
        <x:v>Accretion Dilution</x:v>
      </x:c>
      <x:c r="C27" s="14" t="str">
        <x:v>Pro forma earnings, shares, EPS, and accretion/dilution</x:v>
      </x:c>
    </x:row>
    <x:row r="28">
      <x:c r="A28" s="28" t="n">
        <x:v>15</x:v>
      </x:c>
      <x:c r="B28" s="13" t="str">
        <x:v>Synergies</x:v>
      </x:c>
      <x:c r="C28" s="14" t="str">
        <x:v>Cost and revenue synergies, timing, and implementation costs</x:v>
      </x:c>
    </x:row>
    <x:row r="29">
      <x:c r="A29" s="28" t="n">
        <x:v>16</x:v>
      </x:c>
      <x:c r="B29" s="13" t="str">
        <x:v>Sensitivities</x:v>
      </x:c>
      <x:c r="C29" s="14" t="str">
        <x:v>Valuation and transaction sensitivity analyses</x:v>
      </x:c>
    </x:row>
    <x:row r="30">
      <x:c r="A30" s="28" t="n">
        <x:v>17</x:v>
      </x:c>
      <x:c r="B30" s="13" t="str">
        <x:v>Checks</x:v>
      </x:c>
      <x:c r="C30" s="14" t="str">
        <x:v>Central model integrity and reconciliation tests</x:v>
      </x:c>
    </x:row>
  </x:sheetData>
  <x:mergeCells>
    <x:mergeCell ref="A1:H2"/>
    <x:mergeCell ref="A3:H3"/>
    <x:mergeCell ref="A12:H12"/>
    <x:mergeCell ref="E5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48" hidden="0" customWidth="1"/>
  </x:cols>
  <x:sheetData>
    <x:row r="1">
      <x:c r="A1" s="177" t="str">
        <x:v>Control &amp; Global Assumptions</x:v>
      </x:c>
      <x:c r="B1" s="177"/>
      <x:c r="C1" s="177"/>
      <x:c r="D1" s="177"/>
      <x:c r="E1" s="177"/>
      <x:c r="F1" s="177"/>
      <x:c r="G1" s="177"/>
      <x:c r="H1" s="177"/>
    </x:row>
    <x:row r="3">
      <x:c r="A3" s="12" t="str">
        <x:v>GLOBAL MODEL CONTROLS</x:v>
      </x:c>
      <x:c r="B3" s="12"/>
      <x:c r="C3" s="12"/>
      <x:c r="D3" s="12"/>
    </x:row>
    <x:row r="4">
      <x:c r="A4" s="25" t="str">
        <x:v>Control</x:v>
      </x:c>
      <x:c r="B4" s="26" t="str">
        <x:v>Value</x:v>
      </x:c>
      <x:c r="C4" s="26" t="str">
        <x:v>Status</x:v>
      </x:c>
      <x:c r="D4" s="27" t="str">
        <x:v>Notes</x:v>
      </x:c>
    </x:row>
    <x:row r="5">
      <x:c r="A5" t="str">
        <x:v>Selected case</x:v>
      </x:c>
      <x:c r="B5" s="29" t="str">
        <x:v>Base</x:v>
      </x:c>
      <x:c r="C5" t="str">
        <x:v>Active</x:v>
      </x:c>
      <x:c r="D5" t="str">
        <x:v>Base / Upside / Downside</x:v>
      </x:c>
    </x:row>
    <x:row r="6">
      <x:c r="A6" t="str">
        <x:v>Analysis date</x:v>
      </x:c>
      <x:c r="B6" s="33" t="n">
        <x:v>46254.5</x:v>
      </x:c>
      <x:c r="C6" t="str">
        <x:v>Active</x:v>
      </x:c>
      <x:c r="D6" t="str">
        <x:v>Market-data as-of date</x:v>
      </x:c>
    </x:row>
    <x:row r="7">
      <x:c r="A7" t="str">
        <x:v>Currency</x:v>
      </x:c>
      <x:c r="B7" s="29" t="str">
        <x:v>USD</x:v>
      </x:c>
      <x:c r="C7" t="str">
        <x:v>Active</x:v>
      </x:c>
      <x:c r="D7" t="str">
        <x:v>Reporting currency</x:v>
      </x:c>
    </x:row>
    <x:row r="8">
      <x:c r="A8" t="str">
        <x:v>Units</x:v>
      </x:c>
      <x:c r="B8" s="29" t="str">
        <x:v>$ in millions</x:v>
      </x:c>
      <x:c r="C8" t="str">
        <x:v>Active</x:v>
      </x:c>
      <x:c r="D8" t="str">
        <x:v>Except per-share data</x:v>
      </x:c>
    </x:row>
    <x:row r="9">
      <x:c r="A9" t="str">
        <x:v>Forecast horizon</x:v>
      </x:c>
      <x:c r="B9" s="34" t="n">
        <x:v>5</x:v>
      </x:c>
      <x:c r="C9" t="str">
        <x:v>Preliminary</x:v>
      </x:c>
      <x:c r="D9" t="str">
        <x:v>Years; confirm after historical review</x:v>
      </x:c>
    </x:row>
    <x:row r="10">
      <x:c r="A10" t="str">
        <x:v>Transaction close date</x:v>
      </x:c>
      <x:c r="B10" s="35"/>
      <x:c r="C10" t="str">
        <x:v>Required later</x:v>
      </x:c>
      <x:c r="D10" t="str">
        <x:v>Set during transaction analysis</x:v>
      </x:c>
    </x:row>
    <x:row r="12">
      <x:c r="A12" s="12" t="str">
        <x:v>TRANSACTION INPUTS — DO NOT POPULATE BEFORE VALUATION</x:v>
      </x:c>
      <x:c r="B12" s="12"/>
      <x:c r="C12" s="12"/>
      <x:c r="D12" s="12"/>
    </x:row>
    <x:row r="13">
      <x:c r="A13" t="str">
        <x:v>Offer price per share</x:v>
      </x:c>
      <x:c r="B13" s="36"/>
      <x:c r="C13" t="str">
        <x:v>Not started</x:v>
      </x:c>
      <x:c r="D13" t="str">
        <x:v>Derived after standalone valuation</x:v>
      </x:c>
    </x:row>
    <x:row r="14">
      <x:c r="A14" t="str">
        <x:v>Offer premium</x:v>
      </x:c>
      <x:c r="B14" s="37"/>
      <x:c r="C14" t="str">
        <x:v>Not started</x:v>
      </x:c>
      <x:c r="D14" t="str">
        <x:v>Calculated against unaffected price</x:v>
      </x:c>
    </x:row>
    <x:row r="15">
      <x:c r="A15" t="str">
        <x:v>Cash consideration %</x:v>
      </x:c>
      <x:c r="B15" s="37"/>
      <x:c r="C15" t="str">
        <x:v>Not started</x:v>
      </x:c>
      <x:c r="D15" t="str">
        <x:v>Optimized in transaction model</x:v>
      </x:c>
    </x:row>
    <x:row r="16">
      <x:c r="A16" t="str">
        <x:v>Stock consideration %</x:v>
      </x:c>
      <x:c r="B16" s="37"/>
      <x:c r="C16" t="str">
        <x:v>Not started</x:v>
      </x:c>
      <x:c r="D16" t="str">
        <x:v>Optimized in transaction model</x:v>
      </x:c>
    </x:row>
    <x:row r="17">
      <x:c r="A17" t="str">
        <x:v>Cost synergies</x:v>
      </x:c>
      <x:c r="B17" s="38"/>
      <x:c r="C17" t="str">
        <x:v>Not started</x:v>
      </x:c>
      <x:c r="D17" t="str">
        <x:v>Operationally supported assumption</x:v>
      </x:c>
    </x:row>
    <x:row r="18">
      <x:c r="A18" t="str">
        <x:v>Revenue synergies</x:v>
      </x:c>
      <x:c r="B18" s="38"/>
      <x:c r="C18" t="str">
        <x:v>Not started</x:v>
      </x:c>
      <x:c r="D18" t="str">
        <x:v>Separately modeled and risk-adjusted</x:v>
      </x:c>
    </x:row>
    <x:row r="20">
      <x:c r="A20" s="139" t="str">
        <x:v>CGNX OPERATING FORECAST ASSUMPTIONS</x:v>
      </x:c>
      <x:c r="B20" s="139"/>
      <x:c r="C20" s="139"/>
      <x:c r="D20" s="139"/>
      <x:c r="E20" s="139"/>
      <x:c r="F20" s="139"/>
      <x:c r="G20" s="139"/>
      <x:c r="H20" s="139"/>
    </x:row>
    <x:row r="21">
      <x:c r="A21" s="144" t="str">
        <x:v>Driver</x:v>
      </x:c>
      <x:c r="B21" s="144" t="str">
        <x:v>Case</x:v>
      </x:c>
      <x:c r="C21" s="144" t="str">
        <x:v>FY2026E</x:v>
      </x:c>
      <x:c r="D21" s="144" t="str">
        <x:v>FY2027E</x:v>
      </x:c>
      <x:c r="E21" s="144" t="str">
        <x:v>FY2028E</x:v>
      </x:c>
      <x:c r="F21" s="144" t="str">
        <x:v>FY2029E</x:v>
      </x:c>
      <x:c r="G21" s="144" t="str">
        <x:v>FY2030E</x:v>
      </x:c>
      <x:c r="H21" s="144" t="str">
        <x:v>Source / rationale</x:v>
      </x:c>
    </x:row>
    <x:row r="22">
      <x:c r="A22" s="155" t="str">
        <x:v>Revenue growth</x:v>
      </x:c>
      <x:c r="B22" s="156" t="str">
        <x:v>Base</x:v>
      </x:c>
      <x:c r="C22" s="173" t="n">
        <x:v>0.14646722159702885</x:v>
      </x:c>
      <x:c r="D22" s="173" t="n">
        <x:v>0.09</x:v>
      </x:c>
      <x:c r="E22" s="173" t="n">
        <x:v>0.08</x:v>
      </x:c>
      <x:c r="F22" s="173" t="n">
        <x:v>0.07</x:v>
      </x:c>
      <x:c r="G22" s="173" t="n">
        <x:v>0.065</x:v>
      </x:c>
      <x:c r="H22" s="157" t="str">
        <x:v>FY2026: S-022 guidance midpoint; outer years normalize</x:v>
      </x:c>
    </x:row>
    <x:row r="23">
      <x:c r="A23" s="158" t="str">
        <x:v>Revenue growth</x:v>
      </x:c>
      <x:c r="B23" s="159" t="str">
        <x:v>Upside</x:v>
      </x:c>
      <x:c r="C23" s="174" t="n">
        <x:v>0.15652395161103771</x:v>
      </x:c>
      <x:c r="D23" s="174" t="n">
        <x:v>0.12</x:v>
      </x:c>
      <x:c r="E23" s="174" t="n">
        <x:v>0.1</x:v>
      </x:c>
      <x:c r="F23" s="174" t="n">
        <x:v>0.09</x:v>
      </x:c>
      <x:c r="G23" s="174" t="n">
        <x:v>0.08</x:v>
      </x:c>
      <x:c r="H23" s="160" t="str">
        <x:v>FY2026 guidance high end; stronger adoption</x:v>
      </x:c>
    </x:row>
    <x:row r="24">
      <x:c r="A24" s="158" t="str">
        <x:v>Revenue growth</x:v>
      </x:c>
      <x:c r="B24" s="159" t="str">
        <x:v>Downside</x:v>
      </x:c>
      <x:c r="C24" s="174" t="n">
        <x:v>0.13641049158301977</x:v>
      </x:c>
      <x:c r="D24" s="174" t="n">
        <x:v>0.05</x:v>
      </x:c>
      <x:c r="E24" s="174" t="n">
        <x:v>0.04</x:v>
      </x:c>
      <x:c r="F24" s="174" t="n">
        <x:v>0.04</x:v>
      </x:c>
      <x:c r="G24" s="174" t="n">
        <x:v>0.04</x:v>
      </x:c>
      <x:c r="H24" s="160" t="str">
        <x:v>FY2026 guidance low end; cyclical slowdown</x:v>
      </x:c>
    </x:row>
    <x:row r="25">
      <x:c r="A25" s="158" t="str">
        <x:v>Gross margin</x:v>
      </x:c>
      <x:c r="B25" s="159" t="str">
        <x:v>Base</x:v>
      </x:c>
      <x:c r="C25" s="174" t="n">
        <x:v>0.705</x:v>
      </x:c>
      <x:c r="D25" s="174" t="n">
        <x:v>0.707</x:v>
      </x:c>
      <x:c r="E25" s="174" t="n">
        <x:v>0.71</x:v>
      </x:c>
      <x:c r="F25" s="174" t="n">
        <x:v>0.712</x:v>
      </x:c>
      <x:c r="G25" s="174" t="n">
        <x:v>0.713</x:v>
      </x:c>
      <x:c r="H25" s="160" t="str">
        <x:v>Recovery with mix and volume; remains below peak</x:v>
      </x:c>
    </x:row>
    <x:row r="26">
      <x:c r="A26" s="158" t="str">
        <x:v>Gross margin</x:v>
      </x:c>
      <x:c r="B26" s="159" t="str">
        <x:v>Upside</x:v>
      </x:c>
      <x:c r="C26" s="174" t="n">
        <x:v>0.71</x:v>
      </x:c>
      <x:c r="D26" s="174" t="n">
        <x:v>0.715</x:v>
      </x:c>
      <x:c r="E26" s="174" t="n">
        <x:v>0.72</x:v>
      </x:c>
      <x:c r="F26" s="174" t="n">
        <x:v>0.725</x:v>
      </x:c>
      <x:c r="G26" s="174" t="n">
        <x:v>0.725</x:v>
      </x:c>
      <x:c r="H26" s="160" t="str">
        <x:v>Favorable mix and pricing</x:v>
      </x:c>
    </x:row>
    <x:row r="27">
      <x:c r="A27" s="158" t="str">
        <x:v>Gross margin</x:v>
      </x:c>
      <x:c r="B27" s="159" t="str">
        <x:v>Downside</x:v>
      </x:c>
      <x:c r="C27" s="174" t="n">
        <x:v>0.695</x:v>
      </x:c>
      <x:c r="D27" s="174" t="n">
        <x:v>0.69</x:v>
      </x:c>
      <x:c r="E27" s="174" t="n">
        <x:v>0.685</x:v>
      </x:c>
      <x:c r="F27" s="174" t="n">
        <x:v>0.685</x:v>
      </x:c>
      <x:c r="G27" s="174" t="n">
        <x:v>0.685</x:v>
      </x:c>
      <x:c r="H27" s="160" t="str">
        <x:v>Volume and price/cost pressure</x:v>
      </x:c>
    </x:row>
    <x:row r="28">
      <x:c r="A28" s="158" t="str">
        <x:v>R&amp;D % revenue</x:v>
      </x:c>
      <x:c r="B28" s="159" t="str">
        <x:v>Base</x:v>
      </x:c>
      <x:c r="C28" s="174" t="n">
        <x:v>0.135</x:v>
      </x:c>
      <x:c r="D28" s="174" t="n">
        <x:v>0.134</x:v>
      </x:c>
      <x:c r="E28" s="174" t="n">
        <x:v>0.133</x:v>
      </x:c>
      <x:c r="F28" s="174" t="n">
        <x:v>0.132</x:v>
      </x:c>
      <x:c r="G28" s="174" t="n">
        <x:v>0.132</x:v>
      </x:c>
      <x:c r="H28" s="160" t="str">
        <x:v>Maintain innovation investment; modest scale</x:v>
      </x:c>
    </x:row>
    <x:row r="29">
      <x:c r="A29" s="158" t="str">
        <x:v>R&amp;D % revenue</x:v>
      </x:c>
      <x:c r="B29" s="159" t="str">
        <x:v>Upside</x:v>
      </x:c>
      <x:c r="C29" s="174" t="n">
        <x:v>0.133</x:v>
      </x:c>
      <x:c r="D29" s="174" t="n">
        <x:v>0.13</x:v>
      </x:c>
      <x:c r="E29" s="174" t="n">
        <x:v>0.128</x:v>
      </x:c>
      <x:c r="F29" s="174" t="n">
        <x:v>0.126</x:v>
      </x:c>
      <x:c r="G29" s="174" t="n">
        <x:v>0.125</x:v>
      </x:c>
      <x:c r="H29" s="160" t="str">
        <x:v>Faster revenue scale</x:v>
      </x:c>
    </x:row>
    <x:row r="30">
      <x:c r="A30" s="158" t="str">
        <x:v>R&amp;D % revenue</x:v>
      </x:c>
      <x:c r="B30" s="159" t="str">
        <x:v>Downside</x:v>
      </x:c>
      <x:c r="C30" s="174" t="n">
        <x:v>0.14</x:v>
      </x:c>
      <x:c r="D30" s="174" t="n">
        <x:v>0.14</x:v>
      </x:c>
      <x:c r="E30" s="174" t="n">
        <x:v>0.14</x:v>
      </x:c>
      <x:c r="F30" s="174" t="n">
        <x:v>0.139</x:v>
      </x:c>
      <x:c r="G30" s="174" t="n">
        <x:v>0.138</x:v>
      </x:c>
      <x:c r="H30" s="160" t="str">
        <x:v>Protect product roadmap despite lower volume</x:v>
      </x:c>
    </x:row>
    <x:row r="31">
      <x:c r="A31" s="158" t="str">
        <x:v>SG&amp;A % revenue</x:v>
      </x:c>
      <x:c r="B31" s="159" t="str">
        <x:v>Base</x:v>
      </x:c>
      <x:c r="C31" s="174" t="n">
        <x:v>0.31</x:v>
      </x:c>
      <x:c r="D31" s="174" t="n">
        <x:v>0.305</x:v>
      </x:c>
      <x:c r="E31" s="174" t="n">
        <x:v>0.3</x:v>
      </x:c>
      <x:c r="F31" s="174" t="n">
        <x:v>0.295</x:v>
      </x:c>
      <x:c r="G31" s="174" t="n">
        <x:v>0.292</x:v>
      </x:c>
      <x:c r="H31" s="160" t="str">
        <x:v>Operating leverage with continued go-to-market investment</x:v>
      </x:c>
    </x:row>
    <x:row r="32">
      <x:c r="A32" s="158" t="str">
        <x:v>SG&amp;A % revenue</x:v>
      </x:c>
      <x:c r="B32" s="159" t="str">
        <x:v>Upside</x:v>
      </x:c>
      <x:c r="C32" s="174" t="n">
        <x:v>0.305</x:v>
      </x:c>
      <x:c r="D32" s="174" t="n">
        <x:v>0.295</x:v>
      </x:c>
      <x:c r="E32" s="174" t="n">
        <x:v>0.285</x:v>
      </x:c>
      <x:c r="F32" s="174" t="n">
        <x:v>0.275</x:v>
      </x:c>
      <x:c r="G32" s="174" t="n">
        <x:v>0.27</x:v>
      </x:c>
      <x:c r="H32" s="160" t="str">
        <x:v>Stronger fixed-cost absorption</x:v>
      </x:c>
    </x:row>
    <x:row r="33">
      <x:c r="A33" s="158" t="str">
        <x:v>SG&amp;A % revenue</x:v>
      </x:c>
      <x:c r="B33" s="159" t="str">
        <x:v>Downside</x:v>
      </x:c>
      <x:c r="C33" s="174" t="n">
        <x:v>0.325</x:v>
      </x:c>
      <x:c r="D33" s="174" t="n">
        <x:v>0.33</x:v>
      </x:c>
      <x:c r="E33" s="174" t="n">
        <x:v>0.33</x:v>
      </x:c>
      <x:c r="F33" s="174" t="n">
        <x:v>0.325</x:v>
      </x:c>
      <x:c r="G33" s="174" t="n">
        <x:v>0.32</x:v>
      </x:c>
      <x:c r="H33" s="160" t="str">
        <x:v>Lower fixed-cost absorption</x:v>
      </x:c>
    </x:row>
    <x:row r="34">
      <x:c r="A34" s="158" t="str">
        <x:v>D&amp;A % revenue</x:v>
      </x:c>
      <x:c r="B34" s="159" t="str">
        <x:v>Base</x:v>
      </x:c>
      <x:c r="C34" s="174" t="n">
        <x:v>0.03</x:v>
      </x:c>
      <x:c r="D34" s="174" t="n">
        <x:v>0.029</x:v>
      </x:c>
      <x:c r="E34" s="174" t="n">
        <x:v>0.028</x:v>
      </x:c>
      <x:c r="F34" s="174" t="n">
        <x:v>0.027</x:v>
      </x:c>
      <x:c r="G34" s="174" t="n">
        <x:v>0.026</x:v>
      </x:c>
      <x:c r="H34" s="160" t="str">
        <x:v>Normalized near recent run rate</x:v>
      </x:c>
    </x:row>
    <x:row r="35">
      <x:c r="A35" s="158" t="str">
        <x:v>D&amp;A % revenue</x:v>
      </x:c>
      <x:c r="B35" s="159" t="str">
        <x:v>Upside</x:v>
      </x:c>
      <x:c r="C35" s="174" t="n">
        <x:v>0.03</x:v>
      </x:c>
      <x:c r="D35" s="174" t="n">
        <x:v>0.029</x:v>
      </x:c>
      <x:c r="E35" s="174" t="n">
        <x:v>0.028</x:v>
      </x:c>
      <x:c r="F35" s="174" t="n">
        <x:v>0.027</x:v>
      </x:c>
      <x:c r="G35" s="174" t="n">
        <x:v>0.026</x:v>
      </x:c>
      <x:c r="H35" s="160" t="str">
        <x:v>Same asset intensity</x:v>
      </x:c>
    </x:row>
    <x:row r="36">
      <x:c r="A36" s="158" t="str">
        <x:v>D&amp;A % revenue</x:v>
      </x:c>
      <x:c r="B36" s="159" t="str">
        <x:v>Downside</x:v>
      </x:c>
      <x:c r="C36" s="174" t="n">
        <x:v>0.031</x:v>
      </x:c>
      <x:c r="D36" s="174" t="n">
        <x:v>0.031</x:v>
      </x:c>
      <x:c r="E36" s="174" t="n">
        <x:v>0.03</x:v>
      </x:c>
      <x:c r="F36" s="174" t="n">
        <x:v>0.03</x:v>
      </x:c>
      <x:c r="G36" s="174" t="n">
        <x:v>0.029</x:v>
      </x:c>
      <x:c r="H36" s="160" t="str">
        <x:v>Lower revenue absorption</x:v>
      </x:c>
    </x:row>
    <x:row r="37">
      <x:c r="A37" s="158" t="str">
        <x:v>Tax rate</x:v>
      </x:c>
      <x:c r="B37" s="159" t="str">
        <x:v>Base</x:v>
      </x:c>
      <x:c r="C37" s="174" t="n">
        <x:v>0.2</x:v>
      </x:c>
      <x:c r="D37" s="174" t="n">
        <x:v>0.2</x:v>
      </x:c>
      <x:c r="E37" s="174" t="n">
        <x:v>0.2</x:v>
      </x:c>
      <x:c r="F37" s="174" t="n">
        <x:v>0.2</x:v>
      </x:c>
      <x:c r="G37" s="174" t="n">
        <x:v>0.2</x:v>
      </x:c>
      <x:c r="H37" s="160" t="str">
        <x:v>Normalized rate; FY2025 distorted by discrete items</x:v>
      </x:c>
    </x:row>
    <x:row r="38">
      <x:c r="A38" s="158" t="str">
        <x:v>Tax rate</x:v>
      </x:c>
      <x:c r="B38" s="159" t="str">
        <x:v>Upside</x:v>
      </x:c>
      <x:c r="C38" s="174" t="n">
        <x:v>0.195</x:v>
      </x:c>
      <x:c r="D38" s="174" t="n">
        <x:v>0.195</x:v>
      </x:c>
      <x:c r="E38" s="174" t="n">
        <x:v>0.195</x:v>
      </x:c>
      <x:c r="F38" s="174" t="n">
        <x:v>0.195</x:v>
      </x:c>
      <x:c r="G38" s="174" t="n">
        <x:v>0.195</x:v>
      </x:c>
      <x:c r="H38" s="160" t="str">
        <x:v>Modestly favorable jurisdiction mix</x:v>
      </x:c>
    </x:row>
    <x:row r="39">
      <x:c r="A39" s="158" t="str">
        <x:v>Tax rate</x:v>
      </x:c>
      <x:c r="B39" s="159" t="str">
        <x:v>Downside</x:v>
      </x:c>
      <x:c r="C39" s="174" t="n">
        <x:v>0.21</x:v>
      </x:c>
      <x:c r="D39" s="174" t="n">
        <x:v>0.21</x:v>
      </x:c>
      <x:c r="E39" s="174" t="n">
        <x:v>0.21</x:v>
      </x:c>
      <x:c r="F39" s="174" t="n">
        <x:v>0.21</x:v>
      </x:c>
      <x:c r="G39" s="174" t="n">
        <x:v>0.21</x:v>
      </x:c>
      <x:c r="H39" s="160" t="str">
        <x:v>Less favorable jurisdiction mix</x:v>
      </x:c>
    </x:row>
    <x:row r="40">
      <x:c r="A40" s="158" t="str">
        <x:v>Net interest &amp; other % revenue</x:v>
      </x:c>
      <x:c r="B40" s="159" t="str">
        <x:v>Base</x:v>
      </x:c>
      <x:c r="C40" s="174" t="n">
        <x:v>0.015</x:v>
      </x:c>
      <x:c r="D40" s="174" t="n">
        <x:v>0.013</x:v>
      </x:c>
      <x:c r="E40" s="174" t="n">
        <x:v>0.011</x:v>
      </x:c>
      <x:c r="F40" s="174" t="n">
        <x:v>0.01</x:v>
      </x:c>
      <x:c r="G40" s="174" t="n">
        <x:v>0.009</x:v>
      </x:c>
      <x:c r="H40" s="160" t="str">
        <x:v>Declines as excess cash is returned or deployed</x:v>
      </x:c>
    </x:row>
    <x:row r="41">
      <x:c r="A41" s="158" t="str">
        <x:v>Net interest &amp; other % revenue</x:v>
      </x:c>
      <x:c r="B41" s="159" t="str">
        <x:v>Upside</x:v>
      </x:c>
      <x:c r="C41" s="174" t="n">
        <x:v>0.016</x:v>
      </x:c>
      <x:c r="D41" s="174" t="n">
        <x:v>0.014</x:v>
      </x:c>
      <x:c r="E41" s="174" t="n">
        <x:v>0.012</x:v>
      </x:c>
      <x:c r="F41" s="174" t="n">
        <x:v>0.011</x:v>
      </x:c>
      <x:c r="G41" s="174" t="n">
        <x:v>0.01</x:v>
      </x:c>
      <x:c r="H41" s="160" t="str">
        <x:v>Higher cash balances / yields</x:v>
      </x:c>
    </x:row>
    <x:row r="42">
      <x:c r="A42" s="158" t="str">
        <x:v>Net interest &amp; other % revenue</x:v>
      </x:c>
      <x:c r="B42" s="159" t="str">
        <x:v>Downside</x:v>
      </x:c>
      <x:c r="C42" s="174" t="n">
        <x:v>0.012</x:v>
      </x:c>
      <x:c r="D42" s="174" t="n">
        <x:v>0.01</x:v>
      </x:c>
      <x:c r="E42" s="174" t="n">
        <x:v>0.009</x:v>
      </x:c>
      <x:c r="F42" s="174" t="n">
        <x:v>0.008</x:v>
      </x:c>
      <x:c r="G42" s="174" t="n">
        <x:v>0.007</x:v>
      </x:c>
      <x:c r="H42" s="160" t="str">
        <x:v>Lower cash balances / yields</x:v>
      </x:c>
    </x:row>
    <x:row r="43">
      <x:c r="A43" s="158" t="str">
        <x:v>Capex % revenue</x:v>
      </x:c>
      <x:c r="B43" s="159" t="str">
        <x:v>Base</x:v>
      </x:c>
      <x:c r="C43" s="174" t="n">
        <x:v>0.015</x:v>
      </x:c>
      <x:c r="D43" s="174" t="n">
        <x:v>0.016</x:v>
      </x:c>
      <x:c r="E43" s="174" t="n">
        <x:v>0.017</x:v>
      </x:c>
      <x:c r="F43" s="174" t="n">
        <x:v>0.018</x:v>
      </x:c>
      <x:c r="G43" s="174" t="n">
        <x:v>0.018</x:v>
      </x:c>
      <x:c r="H43" s="160" t="str">
        <x:v>Normalized above unusually low FY2025</x:v>
      </x:c>
    </x:row>
    <x:row r="44">
      <x:c r="A44" s="158" t="str">
        <x:v>Capex % revenue</x:v>
      </x:c>
      <x:c r="B44" s="159" t="str">
        <x:v>Upside</x:v>
      </x:c>
      <x:c r="C44" s="174" t="n">
        <x:v>0.014</x:v>
      </x:c>
      <x:c r="D44" s="174" t="n">
        <x:v>0.015</x:v>
      </x:c>
      <x:c r="E44" s="174" t="n">
        <x:v>0.016</x:v>
      </x:c>
      <x:c r="F44" s="174" t="n">
        <x:v>0.017</x:v>
      </x:c>
      <x:c r="G44" s="174" t="n">
        <x:v>0.017</x:v>
      </x:c>
      <x:c r="H44" s="160" t="str">
        <x:v>Efficient growth investment</x:v>
      </x:c>
    </x:row>
    <x:row r="45">
      <x:c r="A45" s="158" t="str">
        <x:v>Capex % revenue</x:v>
      </x:c>
      <x:c r="B45" s="159" t="str">
        <x:v>Downside</x:v>
      </x:c>
      <x:c r="C45" s="174" t="n">
        <x:v>0.017</x:v>
      </x:c>
      <x:c r="D45" s="174" t="n">
        <x:v>0.018</x:v>
      </x:c>
      <x:c r="E45" s="174" t="n">
        <x:v>0.019</x:v>
      </x:c>
      <x:c r="F45" s="174" t="n">
        <x:v>0.02</x:v>
      </x:c>
      <x:c r="G45" s="174" t="n">
        <x:v>0.02</x:v>
      </x:c>
      <x:c r="H45" s="160" t="str">
        <x:v>Lower revenue absorption</x:v>
      </x:c>
    </x:row>
    <x:row r="46">
      <x:c r="A46" s="158" t="str">
        <x:v>Operating NWC % revenue</x:v>
      </x:c>
      <x:c r="B46" s="159" t="str">
        <x:v>Base</x:v>
      </x:c>
      <x:c r="C46" s="174" t="n">
        <x:v>0.23</x:v>
      </x:c>
      <x:c r="D46" s="174" t="n">
        <x:v>0.228</x:v>
      </x:c>
      <x:c r="E46" s="174" t="n">
        <x:v>0.225</x:v>
      </x:c>
      <x:c r="F46" s="174" t="n">
        <x:v>0.223</x:v>
      </x:c>
      <x:c r="G46" s="174" t="n">
        <x:v>0.22</x:v>
      </x:c>
      <x:c r="H46" s="160" t="str">
        <x:v>Near FY2025 with gradual efficiency</x:v>
      </x:c>
    </x:row>
    <x:row r="47">
      <x:c r="A47" s="158" t="str">
        <x:v>Operating NWC % revenue</x:v>
      </x:c>
      <x:c r="B47" s="159" t="str">
        <x:v>Upside</x:v>
      </x:c>
      <x:c r="C47" s="174" t="n">
        <x:v>0.225</x:v>
      </x:c>
      <x:c r="D47" s="174" t="n">
        <x:v>0.22</x:v>
      </x:c>
      <x:c r="E47" s="174" t="n">
        <x:v>0.215</x:v>
      </x:c>
      <x:c r="F47" s="174" t="n">
        <x:v>0.21</x:v>
      </x:c>
      <x:c r="G47" s="174" t="n">
        <x:v>0.205</x:v>
      </x:c>
      <x:c r="H47" s="160" t="str">
        <x:v>Better collections and inventory turns</x:v>
      </x:c>
    </x:row>
    <x:row r="48">
      <x:c r="A48" s="158" t="str">
        <x:v>Operating NWC % revenue</x:v>
      </x:c>
      <x:c r="B48" s="159" t="str">
        <x:v>Downside</x:v>
      </x:c>
      <x:c r="C48" s="174" t="n">
        <x:v>0.245</x:v>
      </x:c>
      <x:c r="D48" s="174" t="n">
        <x:v>0.25</x:v>
      </x:c>
      <x:c r="E48" s="174" t="n">
        <x:v>0.25</x:v>
      </x:c>
      <x:c r="F48" s="174" t="n">
        <x:v>0.248</x:v>
      </x:c>
      <x:c r="G48" s="174" t="n">
        <x:v>0.245</x:v>
      </x:c>
      <x:c r="H48" s="160" t="str">
        <x:v>Slower collections and inventory turns</x:v>
      </x:c>
    </x:row>
    <x:row r="49">
      <x:c r="A49" s="158" t="str">
        <x:v>Diluted share change</x:v>
      </x:c>
      <x:c r="B49" s="159" t="str">
        <x:v>Base</x:v>
      </x:c>
      <x:c r="C49" s="174" t="n">
        <x:v>-0.01</x:v>
      </x:c>
      <x:c r="D49" s="174" t="n">
        <x:v>-0.01</x:v>
      </x:c>
      <x:c r="E49" s="174" t="n">
        <x:v>-0.01</x:v>
      </x:c>
      <x:c r="F49" s="174" t="n">
        <x:v>-0.01</x:v>
      </x:c>
      <x:c r="G49" s="174" t="n">
        <x:v>-0.01</x:v>
      </x:c>
      <x:c r="H49" s="160" t="str">
        <x:v>Moderate net repurchases</x:v>
      </x:c>
    </x:row>
    <x:row r="50">
      <x:c r="A50" s="158" t="str">
        <x:v>Diluted share change</x:v>
      </x:c>
      <x:c r="B50" s="159" t="str">
        <x:v>Upside</x:v>
      </x:c>
      <x:c r="C50" s="174" t="n">
        <x:v>-0.012</x:v>
      </x:c>
      <x:c r="D50" s="174" t="n">
        <x:v>-0.012</x:v>
      </x:c>
      <x:c r="E50" s="174" t="n">
        <x:v>-0.012</x:v>
      </x:c>
      <x:c r="F50" s="174" t="n">
        <x:v>-0.012</x:v>
      </x:c>
      <x:c r="G50" s="174" t="n">
        <x:v>-0.012</x:v>
      </x:c>
      <x:c r="H50" s="160" t="str">
        <x:v>Stronger repurchase capacity</x:v>
      </x:c>
    </x:row>
    <x:row r="51">
      <x:c r="A51" s="161" t="str">
        <x:v>Diluted share change</x:v>
      </x:c>
      <x:c r="B51" s="162" t="str">
        <x:v>Downside</x:v>
      </x:c>
      <x:c r="C51" s="175" t="n">
        <x:v>0</x:v>
      </x:c>
      <x:c r="D51" s="175" t="n">
        <x:v>0</x:v>
      </x:c>
      <x:c r="E51" s="175" t="n">
        <x:v>0</x:v>
      </x:c>
      <x:c r="F51" s="175" t="n">
        <x:v>0</x:v>
      </x:c>
      <x:c r="G51" s="175" t="n">
        <x:v>0</x:v>
      </x:c>
      <x:c r="H51" s="163" t="str">
        <x:v>Preserve liquidity; SBC offsets repurchases</x:v>
      </x:c>
    </x:row>
    <x:row r="54">
      <x:c r="A54" s="139" t="str">
        <x:v>ROK BUYER FORECAST ASSUMPTIONS — BASE CASE</x:v>
      </x:c>
      <x:c r="B54" s="139"/>
      <x:c r="C54" s="139"/>
      <x:c r="D54" s="139"/>
      <x:c r="E54" s="139"/>
      <x:c r="F54" s="139"/>
      <x:c r="G54" s="139"/>
      <x:c r="H54" s="139"/>
    </x:row>
    <x:row r="55">
      <x:c r="A55" s="144" t="str">
        <x:v>Driver</x:v>
      </x:c>
      <x:c r="B55" s="144" t="str">
        <x:v>Case</x:v>
      </x:c>
      <x:c r="C55" s="144" t="str">
        <x:v>FY2026E</x:v>
      </x:c>
      <x:c r="D55" s="144" t="str">
        <x:v>FY2027E</x:v>
      </x:c>
      <x:c r="E55" s="144" t="str">
        <x:v>FY2028E</x:v>
      </x:c>
      <x:c r="F55" s="144" t="str">
        <x:v>FY2029E</x:v>
      </x:c>
      <x:c r="G55" s="144" t="str">
        <x:v>FY2030E</x:v>
      </x:c>
      <x:c r="H55" s="144" t="str">
        <x:v>Source / rationale</x:v>
      </x:c>
    </x:row>
    <x:row r="56">
      <x:c r="A56" s="155" t="str">
        <x:v>Revenue growth</x:v>
      </x:c>
      <x:c r="B56" s="156" t="str">
        <x:v>Base</x:v>
      </x:c>
      <x:c r="C56" s="173" t="n">
        <x:v>0.085</x:v>
      </x:c>
      <x:c r="D56" s="173" t="n">
        <x:v>0.05</x:v>
      </x:c>
      <x:c r="E56" s="173" t="n">
        <x:v>0.045</x:v>
      </x:c>
      <x:c r="F56" s="173" t="n">
        <x:v>0.04</x:v>
      </x:c>
      <x:c r="G56" s="173" t="n">
        <x:v>0.04</x:v>
      </x:c>
      <x:c r="H56" s="157" t="str">
        <x:v>FY2026: S-018 guidance midpoint; outer years normalize</x:v>
      </x:c>
    </x:row>
    <x:row r="57">
      <x:c r="A57" s="158" t="str">
        <x:v>Enterprise operating margin</x:v>
      </x:c>
      <x:c r="B57" s="159" t="str">
        <x:v>Base</x:v>
      </x:c>
      <x:c r="C57" s="174" t="n">
        <x:v>0.215</x:v>
      </x:c>
      <x:c r="D57" s="174" t="n">
        <x:v>0.217</x:v>
      </x:c>
      <x:c r="E57" s="174" t="n">
        <x:v>0.219</x:v>
      </x:c>
      <x:c r="F57" s="174" t="n">
        <x:v>0.22</x:v>
      </x:c>
      <x:c r="G57" s="174" t="n">
        <x:v>0.22</x:v>
      </x:c>
      <x:c r="H57" s="160" t="str">
        <x:v>FY2026: S-018; modest longer-term expansion</x:v>
      </x:c>
    </x:row>
    <x:row r="58">
      <x:c r="A58" s="158" t="str">
        <x:v>Adjusted diluted EPS</x:v>
      </x:c>
      <x:c r="B58" s="159" t="str">
        <x:v>Base</x:v>
      </x:c>
      <x:c r="C58" s="176" t="n">
        <x:v>13.15</x:v>
      </x:c>
      <x:c r="D58" s="176"/>
      <x:c r="E58" s="176"/>
      <x:c r="F58" s="176"/>
      <x:c r="G58" s="176"/>
      <x:c r="H58" s="160" t="str">
        <x:v>FY2026: S-018 guidance midpoint</x:v>
      </x:c>
    </x:row>
    <x:row r="59">
      <x:c r="A59" s="158" t="str">
        <x:v>Adjusted EPS growth</x:v>
      </x:c>
      <x:c r="B59" s="159" t="str">
        <x:v>Base</x:v>
      </x:c>
      <x:c r="C59" s="174"/>
      <x:c r="D59" s="174" t="n">
        <x:v>0.06</x:v>
      </x:c>
      <x:c r="E59" s="174" t="n">
        <x:v>0.06</x:v>
      </x:c>
      <x:c r="F59" s="174" t="n">
        <x:v>0.05</x:v>
      </x:c>
      <x:c r="G59" s="174" t="n">
        <x:v>0.05</x:v>
      </x:c>
      <x:c r="H59" s="160" t="str">
        <x:v>Outer years: analyst assumption</x:v>
      </x:c>
    </x:row>
    <x:row r="60">
      <x:c r="A60" s="158" t="str">
        <x:v>Diluted share change</x:v>
      </x:c>
      <x:c r="B60" s="159" t="str">
        <x:v>Base</x:v>
      </x:c>
      <x:c r="C60" s="174" t="n">
        <x:v>-0.008</x:v>
      </x:c>
      <x:c r="D60" s="174" t="n">
        <x:v>-0.008</x:v>
      </x:c>
      <x:c r="E60" s="174" t="n">
        <x:v>-0.008</x:v>
      </x:c>
      <x:c r="F60" s="174" t="n">
        <x:v>-0.008</x:v>
      </x:c>
      <x:c r="G60" s="174" t="n">
        <x:v>-0.008</x:v>
      </x:c>
      <x:c r="H60" s="160" t="str">
        <x:v>Moderate net repurchases</x:v>
      </x:c>
    </x:row>
    <x:row r="61">
      <x:c r="A61" s="161" t="str">
        <x:v>FCF conversion</x:v>
      </x:c>
      <x:c r="B61" s="162" t="str">
        <x:v>Base</x:v>
      </x:c>
      <x:c r="C61" s="175" t="n">
        <x:v>1</x:v>
      </x:c>
      <x:c r="D61" s="175" t="n">
        <x:v>1</x:v>
      </x:c>
      <x:c r="E61" s="175" t="n">
        <x:v>1</x:v>
      </x:c>
      <x:c r="F61" s="175" t="n">
        <x:v>1</x:v>
      </x:c>
      <x:c r="G61" s="175" t="n">
        <x:v>1</x:v>
      </x:c>
      <x:c r="H61" s="163" t="str">
        <x:v>FY2026: management outlook; held constant</x:v>
      </x:c>
    </x:row>
  </x:sheetData>
  <x:mergeCells>
    <x:mergeCell ref="A1:H1"/>
    <x:mergeCell ref="A3:D3"/>
    <x:mergeCell ref="A12:D12"/>
    <x:mergeCell ref="A20:H20"/>
    <x:mergeCell ref="A54:H54"/>
  </x:mergeCells>
  <x:dataValidations count="1">
    <x:dataValidation type="list" sqref="B5">
      <x:formula1>"Base,Upside,Downside"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5" hidden="0" customWidth="1"/>
    <x:col min="4" max="4" width="14" hidden="0" customWidth="1"/>
    <x:col min="5" max="5" width="14" hidden="0" customWidth="1"/>
    <x:col min="6" max="6" width="38" hidden="0" customWidth="1"/>
    <x:col min="7" max="7" width="62" hidden="0" customWidth="1"/>
    <x:col min="8" max="8" width="28" hidden="0" customWidth="1"/>
  </x:cols>
  <x:sheetData>
    <x:row r="1" ht="26" customHeight="1">
      <x:c r="A1" s="119" t="str">
        <x:v>Sources &amp; Audit Trail</x:v>
      </x:c>
      <x:c r="B1" s="119"/>
      <x:c r="C1" s="119"/>
      <x:c r="D1" s="119"/>
      <x:c r="E1" s="119"/>
      <x:c r="F1" s="119"/>
      <x:c r="G1" s="119"/>
      <x:c r="H1" s="119"/>
    </x:row>
    <x:row r="2">
      <x:c r="A2" s="120" t="str">
        <x:v>Primary-source documents supporting historical financial statements and model inputs</x:v>
      </x:c>
      <x:c r="B2" s="120"/>
      <x:c r="C2" s="120"/>
      <x:c r="D2" s="120"/>
      <x:c r="E2" s="120"/>
      <x:c r="F2" s="120"/>
      <x:c r="G2" s="120"/>
      <x:c r="H2" s="120"/>
    </x:row>
    <x:row r="3">
      <x:c r="A3" s="121" t="str">
        <x:v>Source ID</x:v>
      </x:c>
      <x:c r="B3" s="121" t="str">
        <x:v>Company</x:v>
      </x:c>
      <x:c r="C3" s="121" t="str">
        <x:v>Document</x:v>
      </x:c>
      <x:c r="D3" s="121" t="str">
        <x:v>Publication date</x:v>
      </x:c>
      <x:c r="E3" s="121" t="str">
        <x:v>Access date</x:v>
      </x:c>
      <x:c r="F3" s="121" t="str">
        <x:v>Model use</x:v>
      </x:c>
      <x:c r="G3" s="121" t="str">
        <x:v>URL</x:v>
      </x:c>
      <x:c r="H3" s="121" t="str">
        <x:v>Notes</x:v>
      </x:c>
    </x:row>
    <x:row r="4" ht="24" hidden="0" customHeight="1">
      <x:c r="A4" s="128" t="str">
        <x:v>S-017</x:v>
      </x:c>
      <x:c r="B4" s="126" t="str">
        <x:v>Rockwell Automation</x:v>
      </x:c>
      <x:c r="C4" s="126" t="str">
        <x:v>FY2025 Form 10-K</x:v>
      </x:c>
      <x:c r="D4" s="127" t="n">
        <x:v>45973.5</x:v>
      </x:c>
      <x:c r="E4" s="127" t="n">
        <x:v>46254.5</x:v>
      </x:c>
      <x:c r="F4" s="126" t="str">
        <x:v>FY2023-FY2025 historicals; business and segment research</x:v>
      </x:c>
      <x:c r="G4" s="126" t="str">
        <x:v>https://www.sec.gov/Archives/edgar/data/1024478/000102447825000116/rok-20250930.htm</x:v>
      </x:c>
      <x:c r="H4" s="126" t="str">
        <x:v>Primary audited filing</x:v>
      </x:c>
    </x:row>
    <x:row r="5" ht="15" hidden="0" customHeight="1">
      <x:c r="A5" s="128" t="str">
        <x:v>S-019</x:v>
      </x:c>
      <x:c r="B5" s="126" t="str">
        <x:v>Cognex</x:v>
      </x:c>
      <x:c r="C5" s="126" t="str">
        <x:v>FY2025 Form 10-K</x:v>
      </x:c>
      <x:c r="D5" s="127" t="n">
        <x:v>46065.5</x:v>
      </x:c>
      <x:c r="E5" s="127" t="n">
        <x:v>46254.5</x:v>
      </x:c>
      <x:c r="F5" s="126" t="str">
        <x:v>FY2023-FY2025 historical statements and operating data</x:v>
      </x:c>
      <x:c r="G5" s="126" t="str">
        <x:v>https://www.sec.gov/Archives/edgar/data/851205/000085120526000012/cgnx-20251231.htm</x:v>
      </x:c>
      <x:c r="H5" s="126" t="str">
        <x:v>Primary audited filing</x:v>
      </x:c>
    </x:row>
    <x:row r="6" ht="15" hidden="0" customHeight="1">
      <x:c r="A6" s="128" t="str">
        <x:v>S-025</x:v>
      </x:c>
      <x:c r="B6" s="126" t="str">
        <x:v>Cognex</x:v>
      </x:c>
      <x:c r="C6" s="126" t="str">
        <x:v>FY2023 Form 10-K</x:v>
      </x:c>
      <x:c r="D6" s="127" t="n">
        <x:v>45337.5</x:v>
      </x:c>
      <x:c r="E6" s="127" t="n">
        <x:v>46254.5</x:v>
      </x:c>
      <x:c r="F6" s="126" t="str">
        <x:v>FY2021-FY2023 comparative historical statements</x:v>
      </x:c>
      <x:c r="G6" s="126" t="str">
        <x:v>https://www.sec.gov/Archives/edgar/data/851205/000085120524000027/cgnx-20231231.htm</x:v>
      </x:c>
      <x:c r="H6" s="126" t="str">
        <x:v>Primary audited filing</x:v>
      </x:c>
    </x:row>
    <x:row r="7" ht="24" hidden="0" customHeight="1">
      <x:c r="A7" s="128" t="str">
        <x:v>S-026</x:v>
      </x:c>
      <x:c r="B7" s="126" t="str">
        <x:v>Rockwell Automation</x:v>
      </x:c>
      <x:c r="C7" s="126" t="str">
        <x:v>FY2022 Form 10-K</x:v>
      </x:c>
      <x:c r="D7" s="127" t="n">
        <x:v>44873.5</x:v>
      </x:c>
      <x:c r="E7" s="127" t="n">
        <x:v>46254.5</x:v>
      </x:c>
      <x:c r="F7" s="126" t="str">
        <x:v>FY2021-FY2022 history and total segment operating earnings</x:v>
      </x:c>
      <x:c r="G7" s="126" t="str">
        <x:v>https://www.sec.gov/Archives/edgar/data/1024478/000102447822000093/rok-20220930.htm</x:v>
      </x:c>
      <x:c r="H7" s="126" t="str">
        <x:v>Primary audited filing</x:v>
      </x:c>
    </x:row>
    <x:row r="8" ht="15" hidden="0" customHeight="1">
      <x:c r="A8" s="128" t="str">
        <x:v>S-027</x:v>
      </x:c>
      <x:c r="B8" s="126" t="str">
        <x:v>Rockwell Automation</x:v>
      </x:c>
      <x:c r="C8" s="126" t="str">
        <x:v>SEC Company Facts API</x:v>
      </x:c>
      <x:c r="D8" s="127" t="n">
        <x:v>46254.5</x:v>
      </x:c>
      <x:c r="E8" s="127" t="n">
        <x:v>46254.5</x:v>
      </x:c>
      <x:c r="F8" s="126" t="str">
        <x:v>XBRL extraction and statement tie-out</x:v>
      </x:c>
      <x:c r="G8" s="126" t="str">
        <x:v>https://data.sec.gov/api/xbrl/companyfacts/CIK0001024478.json</x:v>
      </x:c>
      <x:c r="H8" s="126" t="str">
        <x:v>Primary SEC structured data</x:v>
      </x:c>
    </x:row>
    <x:row r="9" ht="15" hidden="0" customHeight="1">
      <x:c r="A9" s="128" t="str">
        <x:v>S-028</x:v>
      </x:c>
      <x:c r="B9" s="126" t="str">
        <x:v>Cognex</x:v>
      </x:c>
      <x:c r="C9" s="126" t="str">
        <x:v>SEC Company Facts API</x:v>
      </x:c>
      <x:c r="D9" s="127" t="n">
        <x:v>46254.5</x:v>
      </x:c>
      <x:c r="E9" s="127" t="n">
        <x:v>46254.5</x:v>
      </x:c>
      <x:c r="F9" s="126" t="str">
        <x:v>XBRL extraction and statement tie-out</x:v>
      </x:c>
      <x:c r="G9" s="126" t="str">
        <x:v>https://data.sec.gov/api/xbrl/companyfacts/CIK0000851205.json</x:v>
      </x:c>
      <x:c r="H9" s="126" t="str">
        <x:v>Primary SEC structured data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ROK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Rockwell Automation historical financial and transaction-capacity summary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EARNINGS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44469.5</x:v>
      </x:c>
      <x:c r="C6" s="92" t="n">
        <x:v>44834.5</x:v>
      </x:c>
      <x:c r="D6" s="92" t="n">
        <x:v>45199.5</x:v>
      </x:c>
      <x:c r="E6" s="92" t="n">
        <x:v>45565.5</x:v>
      </x:c>
      <x:c r="F6" s="92" t="n">
        <x:v>45930.5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6997.4</x:v>
      </x:c>
      <x:c r="C7" s="93" t="n">
        <x:v>7760.4</x:v>
      </x:c>
      <x:c r="D7" s="93" t="n">
        <x:v>9058</x:v>
      </x:c>
      <x:c r="E7" s="93" t="n">
        <x:v>8264</x:v>
      </x:c>
      <x:c r="F7" s="93" t="n">
        <x:v>8342</x:v>
      </x:c>
      <x:c r="G7" s="54" t="str">
        <x:v>S-026 / S-017</x:v>
      </x:c>
      <x:c r="H7" s="56" t="str"/>
    </x:row>
    <x:row r="8">
      <x:c r="A8" s="52" t="str">
        <x:v>% growth</x:v>
      </x:c>
      <x:c r="B8" s="94"/>
      <x:c r="C8" s="94" t="n">
        <x:f>C7/B7-1</x:f>
        <x:v>0.10904050075742422</x:v>
      </x:c>
      <x:c r="D8" s="94" t="n">
        <x:f>D7/C7-1</x:f>
        <x:v>0.16720787588268649</x:v>
      </x:c>
      <x:c r="E8" s="94" t="n">
        <x:f>E7/D7-1</x:f>
        <x:v>-0.08765731949657762</x:v>
      </x:c>
      <x:c r="F8" s="94" t="n">
        <x:f>F7/E7-1</x:f>
        <x:v>0.009438528557599302</x:v>
      </x:c>
      <x:c r="G8" s="54"/>
      <x:c r="H8" s="56"/>
    </x:row>
    <x:row r="9">
      <x:c r="A9" s="99" t="str">
        <x:v>Total segment operating earnings</x:v>
      </x:c>
      <x:c r="B9" s="100" t="n">
        <x:v>1391.3</x:v>
      </x:c>
      <x:c r="C9" s="100" t="n">
        <x:v>1542.6</x:v>
      </x:c>
      <x:c r="D9" s="100" t="n">
        <x:v>1929</x:v>
      </x:c>
      <x:c r="E9" s="100" t="n">
        <x:v>1595</x:v>
      </x:c>
      <x:c r="F9" s="100" t="n">
        <x:v>1703</x:v>
      </x:c>
      <x:c r="G9" s="54" t="str">
        <x:v>S-026 / S-017</x:v>
      </x:c>
      <x:c r="H9" s="56" t="str">
        <x:v>Company-defined non-GAAP measure; best consistent operating-profit series</x:v>
      </x:c>
    </x:row>
    <x:row r="10">
      <x:c r="A10" s="52" t="str">
        <x:v>Total segment operating margin</x:v>
      </x:c>
      <x:c r="B10" s="94" t="n">
        <x:f>B9/B7</x:f>
        <x:v>0.19883099436933718</x:v>
      </x:c>
      <x:c r="C10" s="94" t="n">
        <x:f>C9/C7</x:f>
        <x:v>0.19877841348384104</x:v>
      </x:c>
      <x:c r="D10" s="94" t="n">
        <x:f>D9/D7</x:f>
        <x:v>0.21296091852506072</x:v>
      </x:c>
      <x:c r="E10" s="94" t="n">
        <x:f>E9/E7</x:f>
        <x:v>0.1930058083252662</x:v>
      </x:c>
      <x:c r="F10" s="94" t="n">
        <x:f>F9/F7</x:f>
        <x:v>0.20414768640613762</x:v>
      </x:c>
      <x:c r="G10" s="54"/>
      <x:c r="H10" s="56"/>
    </x:row>
    <x:row r="11">
      <x:c r="A11" s="52" t="str">
        <x:v>Net non-segment items</x:v>
      </x:c>
      <x:c r="B11" s="93" t="n">
        <x:f>B12-B9</x:f>
        <x:v>134.9000000000001</x:v>
      </x:c>
      <x:c r="C11" s="93" t="n">
        <x:f>C12-C9</x:f>
        <x:v>-469</x:v>
      </x:c>
      <x:c r="D11" s="93" t="n">
        <x:f>D12-D9</x:f>
        <x:v>-321</x:v>
      </x:c>
      <x:c r="E11" s="93" t="n">
        <x:f>E12-E9</x:f>
        <x:v>-495</x:v>
      </x:c>
      <x:c r="F11" s="93" t="n">
        <x:f>F12-F9</x:f>
        <x:v>-786</x:v>
      </x:c>
      <x:c r="G11" s="54"/>
      <x:c r="H11" s="56"/>
    </x:row>
    <x:row r="12">
      <x:c r="A12" s="99" t="str">
        <x:v>Income before income taxes</x:v>
      </x:c>
      <x:c r="B12" s="100" t="n">
        <x:v>1526.2</x:v>
      </x:c>
      <x:c r="C12" s="100" t="n">
        <x:v>1073.6</x:v>
      </x:c>
      <x:c r="D12" s="100" t="n">
        <x:v>1608</x:v>
      </x:c>
      <x:c r="E12" s="100" t="n">
        <x:v>1100</x:v>
      </x:c>
      <x:c r="F12" s="100" t="n">
        <x:v>917</x:v>
      </x:c>
      <x:c r="G12" s="54" t="str">
        <x:v>S-026 / S-017</x:v>
      </x:c>
      <x:c r="H12" s="56" t="str"/>
    </x:row>
    <x:row r="13">
      <x:c r="A13" s="52" t="str">
        <x:v>Income tax expense</x:v>
      </x:c>
      <x:c r="B13" s="93" t="n">
        <x:v>181.9</x:v>
      </x:c>
      <x:c r="C13" s="93" t="n">
        <x:v>154.5</x:v>
      </x:c>
      <x:c r="D13" s="93" t="n">
        <x:v>330</x:v>
      </x:c>
      <x:c r="E13" s="93" t="n">
        <x:v>152</x:v>
      </x:c>
      <x:c r="F13" s="93" t="n">
        <x:v>168</x:v>
      </x:c>
      <x:c r="G13" s="54" t="str">
        <x:v>S-026 / S-017</x:v>
      </x:c>
      <x:c r="H13" s="56" t="str"/>
    </x:row>
    <x:row r="14">
      <x:c r="A14" s="52" t="str">
        <x:v>Effective tax rate</x:v>
      </x:c>
      <x:c r="B14" s="94" t="n">
        <x:f>B13/B12</x:f>
        <x:v>0.11918490368234831</x:v>
      </x:c>
      <x:c r="C14" s="94" t="n">
        <x:f>C13/C12</x:f>
        <x:v>0.14390834575260805</x:v>
      </x:c>
      <x:c r="D14" s="94" t="n">
        <x:f>D13/D12</x:f>
        <x:v>0.20522388059701493</x:v>
      </x:c>
      <x:c r="E14" s="94" t="n">
        <x:f>E13/E12</x:f>
        <x:v>0.13818181818181818</x:v>
      </x:c>
      <x:c r="F14" s="94" t="n">
        <x:f>F13/F12</x:f>
        <x:v>0.183206106870229</x:v>
      </x:c>
      <x:c r="G14" s="54"/>
      <x:c r="H14" s="56"/>
    </x:row>
    <x:row r="15">
      <x:c r="A15" s="99" t="str">
        <x:v>Net income attributable to Rockwell</x:v>
      </x:c>
      <x:c r="B15" s="100" t="n">
        <x:v>1358.1</x:v>
      </x:c>
      <x:c r="C15" s="100" t="n">
        <x:v>932.2</x:v>
      </x:c>
      <x:c r="D15" s="100" t="n">
        <x:v>1387</x:v>
      </x:c>
      <x:c r="E15" s="100" t="n">
        <x:v>953</x:v>
      </x:c>
      <x:c r="F15" s="100" t="n">
        <x:v>869</x:v>
      </x:c>
      <x:c r="G15" s="54" t="str">
        <x:v>S-026 / S-017</x:v>
      </x:c>
      <x:c r="H15" s="56" t="str"/>
    </x:row>
    <x:row r="16">
      <x:c r="A16" s="52" t="str">
        <x:v>Net income margin</x:v>
      </x:c>
      <x:c r="B16" s="94" t="n">
        <x:f>B15/B7</x:f>
        <x:v>0.19408637493926315</x:v>
      </x:c>
      <x:c r="C16" s="94" t="n">
        <x:f>C15/C7</x:f>
        <x:v>0.1201226740889645</x:v>
      </x:c>
      <x:c r="D16" s="94" t="n">
        <x:f>D15/D7</x:f>
        <x:v>0.153124310002208</x:v>
      </x:c>
      <x:c r="E16" s="94" t="n">
        <x:f>E15/E7</x:f>
        <x:v>0.11531945788964182</x:v>
      </x:c>
      <x:c r="F16" s="94" t="n">
        <x:f>F15/F7</x:f>
        <x:v>0.10417166147206905</x:v>
      </x:c>
      <x:c r="G16" s="54"/>
      <x:c r="H16" s="56"/>
    </x:row>
    <x:row r="17">
      <x:c r="A17" s="52" t="str">
        <x:v>Diluted weighted average shares</x:v>
      </x:c>
      <x:c r="B17" s="95" t="n">
        <x:v>117.1</x:v>
      </x:c>
      <x:c r="C17" s="95" t="n">
        <x:v>116.7</x:v>
      </x:c>
      <x:c r="D17" s="95" t="n">
        <x:v>115.6</x:v>
      </x:c>
      <x:c r="E17" s="95" t="n">
        <x:v>114.5</x:v>
      </x:c>
      <x:c r="F17" s="95" t="n">
        <x:v>113.1</x:v>
      </x:c>
      <x:c r="G17" s="54" t="str">
        <x:v>S-026 / S-017</x:v>
      </x:c>
      <x:c r="H17" s="56" t="str"/>
    </x:row>
    <x:row r="18">
      <x:c r="A18" s="99" t="str">
        <x:v>Diluted EPS — calculated</x:v>
      </x:c>
      <x:c r="B18" s="102" t="n">
        <x:f>B15/B17</x:f>
        <x:v>11.597779675491033</x:v>
      </x:c>
      <x:c r="C18" s="102" t="n">
        <x:f>C15/C17</x:f>
        <x:v>7.988003427592116</x:v>
      </x:c>
      <x:c r="D18" s="102" t="n">
        <x:f>D15/D17</x:f>
        <x:v>11.998269896193772</x:v>
      </x:c>
      <x:c r="E18" s="102" t="n">
        <x:f>E15/E17</x:f>
        <x:v>8.323144104803493</x:v>
      </x:c>
      <x:c r="F18" s="102" t="n">
        <x:f>F15/F17</x:f>
        <x:v>7.683465959328029</x:v>
      </x:c>
      <x:c r="G18" s="54"/>
      <x:c r="H18" s="56"/>
    </x:row>
    <x:row r="19">
      <x:c r="A19" s="52" t="str">
        <x:v>Diluted EPS — reported</x:v>
      </x:c>
      <x:c r="B19" s="96" t="n">
        <x:v>11.58</x:v>
      </x:c>
      <x:c r="C19" s="96" t="n">
        <x:v>7.97</x:v>
      </x:c>
      <x:c r="D19" s="96" t="n">
        <x:v>11.95</x:v>
      </x:c>
      <x:c r="E19" s="96" t="n">
        <x:v>8.28</x:v>
      </x:c>
      <x:c r="F19" s="96" t="n">
        <x:v>7.67</x:v>
      </x:c>
      <x:c r="G19" s="54" t="str">
        <x:v>S-026 / S-017</x:v>
      </x:c>
      <x:c r="H19" s="56" t="str"/>
    </x:row>
    <x:row r="20">
      <x:c r="A20" s="52" t="str">
        <x:v>EPS tie-out</x:v>
      </x:c>
      <x:c r="B20" s="97" t="n">
        <x:f>B18-B19</x:f>
        <x:v>0.017779675491032876</x:v>
      </x:c>
      <x:c r="C20" s="97" t="n">
        <x:f>C18-C19</x:f>
        <x:v>0.018003427592116594</x:v>
      </x:c>
      <x:c r="D20" s="97" t="n">
        <x:f>D18-D19</x:f>
        <x:v>0.048269896193772865</x:v>
      </x:c>
      <x:c r="E20" s="97" t="n">
        <x:f>E18-E19</x:f>
        <x:v>0.04314410480349373</x:v>
      </x:c>
      <x:c r="F20" s="97" t="n">
        <x:f>F18-F19</x:f>
        <x:v>0.013465959328028632</x:v>
      </x:c>
      <x:c r="G20" s="54"/>
      <x:c r="H20" s="56"/>
    </x:row>
    <x:row r="21">
      <x:c r="A21" s="52"/>
      <x:c r="B21" s="53"/>
      <x:c r="C21" s="53"/>
      <x:c r="D21" s="53"/>
      <x:c r="E21" s="53"/>
      <x:c r="F21" s="53"/>
      <x:c r="G21" s="54"/>
      <x:c r="H21" s="56"/>
    </x:row>
    <x:row r="22" ht="19" customHeight="1">
      <x:c r="A22" s="76" t="str">
        <x:v>CASH FLOW AND FINANCING CAPACITY</x:v>
      </x:c>
      <x:c r="B22" s="77"/>
      <x:c r="C22" s="77"/>
      <x:c r="D22" s="77"/>
      <x:c r="E22" s="77"/>
      <x:c r="F22" s="77"/>
      <x:c r="G22" s="78"/>
      <x:c r="H22" s="79"/>
    </x:row>
    <x:row r="23">
      <x:c r="A23" s="88" t="str">
        <x:v>Fiscal year ended</x:v>
      </x:c>
      <x:c r="B23" s="92" t="n">
        <x:v>44469.5</x:v>
      </x:c>
      <x:c r="C23" s="92" t="n">
        <x:v>44834.5</x:v>
      </x:c>
      <x:c r="D23" s="92" t="n">
        <x:v>45199.5</x:v>
      </x:c>
      <x:c r="E23" s="92" t="n">
        <x:v>45565.5</x:v>
      </x:c>
      <x:c r="F23" s="92" t="n">
        <x:v>45930.5</x:v>
      </x:c>
      <x:c r="G23" s="90" t="str">
        <x:v>Source</x:v>
      </x:c>
      <x:c r="H23" s="91" t="str">
        <x:v>Notes</x:v>
      </x:c>
    </x:row>
    <x:row r="24">
      <x:c r="A24" s="52" t="str">
        <x:v>Net income</x:v>
      </x:c>
      <x:c r="B24" s="93" t="n">
        <x:f>B15</x:f>
        <x:v>1358.1</x:v>
      </x:c>
      <x:c r="C24" s="93" t="n">
        <x:f>C15</x:f>
        <x:v>932.2</x:v>
      </x:c>
      <x:c r="D24" s="93" t="n">
        <x:f>D15</x:f>
        <x:v>1387</x:v>
      </x:c>
      <x:c r="E24" s="93" t="n">
        <x:f>E15</x:f>
        <x:v>953</x:v>
      </x:c>
      <x:c r="F24" s="93" t="n">
        <x:f>F15</x:f>
        <x:v>869</x:v>
      </x:c>
      <x:c r="G24" s="54"/>
      <x:c r="H24" s="56"/>
    </x:row>
    <x:row r="25">
      <x:c r="A25" s="52" t="str">
        <x:v>Depreciation &amp; amortization</x:v>
      </x:c>
      <x:c r="B25" s="93" t="n">
        <x:v>189.8</x:v>
      </x:c>
      <x:c r="C25" s="93" t="n">
        <x:v>238.9</x:v>
      </x:c>
      <x:c r="D25" s="93" t="n">
        <x:v>250</x:v>
      </x:c>
      <x:c r="E25" s="93" t="n">
        <x:v>317</x:v>
      </x:c>
      <x:c r="F25" s="93" t="n">
        <x:v>325</x:v>
      </x:c>
      <x:c r="G25" s="54" t="str">
        <x:v>S-026 / S-017</x:v>
      </x:c>
      <x:c r="H25" s="56" t="str"/>
    </x:row>
    <x:row r="26">
      <x:c r="A26" s="52" t="str">
        <x:v>Stock-based compensation</x:v>
      </x:c>
      <x:c r="B26" s="93" t="n">
        <x:v>51.7</x:v>
      </x:c>
      <x:c r="C26" s="93" t="n">
        <x:v>68.1</x:v>
      </x:c>
      <x:c r="D26" s="93" t="n">
        <x:v>88</x:v>
      </x:c>
      <x:c r="E26" s="93" t="n">
        <x:v>100</x:v>
      </x:c>
      <x:c r="F26" s="93" t="n">
        <x:v>85</x:v>
      </x:c>
      <x:c r="G26" s="54" t="str">
        <x:v>S-026 / S-017</x:v>
      </x:c>
      <x:c r="H26" s="56" t="str"/>
    </x:row>
    <x:row r="27">
      <x:c r="A27" s="99" t="str">
        <x:v>Cash provided by operating activities</x:v>
      </x:c>
      <x:c r="B27" s="100" t="n">
        <x:v>1261</x:v>
      </x:c>
      <x:c r="C27" s="100" t="n">
        <x:v>823.1</x:v>
      </x:c>
      <x:c r="D27" s="100" t="n">
        <x:v>1374</x:v>
      </x:c>
      <x:c r="E27" s="100" t="n">
        <x:v>864</x:v>
      </x:c>
      <x:c r="F27" s="100" t="n">
        <x:v>1544</x:v>
      </x:c>
      <x:c r="G27" s="54" t="str">
        <x:v>S-026 / S-017</x:v>
      </x:c>
      <x:c r="H27" s="56" t="str"/>
    </x:row>
    <x:row r="28">
      <x:c r="A28" s="52" t="str">
        <x:v>Capital expenditures</x:v>
      </x:c>
      <x:c r="B28" s="93" t="n">
        <x:v>-120.3</x:v>
      </x:c>
      <x:c r="C28" s="93" t="n">
        <x:v>-141.1</x:v>
      </x:c>
      <x:c r="D28" s="93" t="n">
        <x:v>-160.5</x:v>
      </x:c>
      <x:c r="E28" s="93" t="n">
        <x:v>-225</x:v>
      </x:c>
      <x:c r="F28" s="93" t="n">
        <x:v>-186</x:v>
      </x:c>
      <x:c r="G28" s="54" t="str">
        <x:v>S-026 / S-017</x:v>
      </x:c>
      <x:c r="H28" s="56" t="str">
        <x:v>Presented as a cash outflow</x:v>
      </x:c>
    </x:row>
    <x:row r="29">
      <x:c r="A29" s="99" t="str">
        <x:v>Free cash flow</x:v>
      </x:c>
      <x:c r="B29" s="100" t="n">
        <x:f>SUM(B27:B28)</x:f>
        <x:v>1140.7</x:v>
      </x:c>
      <x:c r="C29" s="100" t="n">
        <x:f>SUM(C27:C28)</x:f>
        <x:v>682</x:v>
      </x:c>
      <x:c r="D29" s="100" t="n">
        <x:f>SUM(D27:D28)</x:f>
        <x:v>1213.5</x:v>
      </x:c>
      <x:c r="E29" s="100" t="n">
        <x:f>SUM(E27:E28)</x:f>
        <x:v>639</x:v>
      </x:c>
      <x:c r="F29" s="100" t="n">
        <x:f>SUM(F27:F28)</x:f>
        <x:v>1358</x:v>
      </x:c>
      <x:c r="G29" s="54"/>
      <x:c r="H29" s="56"/>
    </x:row>
    <x:row r="30">
      <x:c r="A30" s="52" t="str">
        <x:v>Free cash flow margin</x:v>
      </x:c>
      <x:c r="B30" s="94" t="n">
        <x:f>B29/B7</x:f>
        <x:v>0.16301769228570615</x:v>
      </x:c>
      <x:c r="C30" s="94" t="n">
        <x:f>C29/C7</x:f>
        <x:v>0.08788206793464255</x:v>
      </x:c>
      <x:c r="D30" s="94" t="n">
        <x:f>D29/D7</x:f>
        <x:v>0.13396997129609184</x:v>
      </x:c>
      <x:c r="E30" s="94" t="n">
        <x:f>E29/E7</x:f>
        <x:v>0.07732333010648597</x:v>
      </x:c>
      <x:c r="F30" s="94" t="n">
        <x:f>F29/F7</x:f>
        <x:v>0.16279069767441862</x:v>
      </x:c>
      <x:c r="G30" s="54"/>
      <x:c r="H30" s="56"/>
    </x:row>
    <x:row r="31">
      <x:c r="A31" s="52" t="str">
        <x:v>Free cash flow / net income</x:v>
      </x:c>
      <x:c r="B31" s="94" t="n">
        <x:f>B29/B24</x:f>
        <x:v>0.8399234224283927</x:v>
      </x:c>
      <x:c r="C31" s="94" t="n">
        <x:f>C29/C24</x:f>
        <x:v>0.7316026603733105</x:v>
      </x:c>
      <x:c r="D31" s="94" t="n">
        <x:f>D29/D24</x:f>
        <x:v>0.8749098774333093</x:v>
      </x:c>
      <x:c r="E31" s="94" t="n">
        <x:f>E29/E24</x:f>
        <x:v>0.670514165792235</x:v>
      </x:c>
      <x:c r="F31" s="94" t="n">
        <x:f>F29/F24</x:f>
        <x:v>1.5627157652474108</x:v>
      </x:c>
      <x:c r="G31" s="54"/>
      <x:c r="H31" s="56"/>
    </x:row>
    <x:row r="32">
      <x:c r="A32" s="52"/>
      <x:c r="B32" s="53"/>
      <x:c r="C32" s="53"/>
      <x:c r="D32" s="53"/>
      <x:c r="E32" s="53"/>
      <x:c r="F32" s="53"/>
      <x:c r="G32" s="54"/>
      <x:c r="H32" s="56"/>
    </x:row>
    <x:row r="33" ht="19" customHeight="1">
      <x:c r="A33" s="76" t="str">
        <x:v>BALANCE SHEET, LIQUIDITY AND LEVERAGE</x:v>
      </x:c>
      <x:c r="B33" s="77"/>
      <x:c r="C33" s="77"/>
      <x:c r="D33" s="77"/>
      <x:c r="E33" s="77"/>
      <x:c r="F33" s="77"/>
      <x:c r="G33" s="78"/>
      <x:c r="H33" s="79"/>
    </x:row>
    <x:row r="34">
      <x:c r="A34" s="88" t="str">
        <x:v>Fiscal year ended</x:v>
      </x:c>
      <x:c r="B34" s="92" t="n">
        <x:v>44469.5</x:v>
      </x:c>
      <x:c r="C34" s="92" t="n">
        <x:v>44834.5</x:v>
      </x:c>
      <x:c r="D34" s="92" t="n">
        <x:v>45199.5</x:v>
      </x:c>
      <x:c r="E34" s="92" t="n">
        <x:v>45565.5</x:v>
      </x:c>
      <x:c r="F34" s="92" t="n">
        <x:v>45930.5</x:v>
      </x:c>
      <x:c r="G34" s="90" t="str">
        <x:v>Source</x:v>
      </x:c>
      <x:c r="H34" s="91" t="str">
        <x:v>Notes</x:v>
      </x:c>
    </x:row>
    <x:row r="35">
      <x:c r="A35" s="52" t="str">
        <x:v>Cash and cash equivalents</x:v>
      </x:c>
      <x:c r="B35" s="93" t="n">
        <x:v>662.2</x:v>
      </x:c>
      <x:c r="C35" s="93" t="n">
        <x:v>490.7</x:v>
      </x:c>
      <x:c r="D35" s="93" t="n">
        <x:v>1072</x:v>
      </x:c>
      <x:c r="E35" s="93" t="n">
        <x:v>471</x:v>
      </x:c>
      <x:c r="F35" s="93" t="n">
        <x:v>468</x:v>
      </x:c>
      <x:c r="G35" s="54" t="str">
        <x:v>S-026 / S-017</x:v>
      </x:c>
      <x:c r="H35" s="56" t="str"/>
    </x:row>
    <x:row r="36">
      <x:c r="A36" s="52" t="str">
        <x:v>Short-term investments</x:v>
      </x:c>
      <x:c r="B36" s="93" t="n">
        <x:v>0.6</x:v>
      </x:c>
      <x:c r="C36" s="93" t="n">
        <x:v>12.6</x:v>
      </x:c>
      <x:c r="D36" s="93" t="n">
        <x:v>0.6</x:v>
      </x:c>
      <x:c r="E36" s="93" t="n">
        <x:v>0.3</x:v>
      </x:c>
      <x:c r="F36" s="93" t="n">
        <x:v>0</x:v>
      </x:c>
      <x:c r="G36" s="54" t="str">
        <x:v>S-026 / S-017</x:v>
      </x:c>
      <x:c r="H36" s="56" t="str"/>
    </x:row>
    <x:row r="37">
      <x:c r="A37" s="52" t="str">
        <x:v>Receivables</x:v>
      </x:c>
      <x:c r="B37" s="93" t="n">
        <x:v>1424.5</x:v>
      </x:c>
      <x:c r="C37" s="93" t="n">
        <x:v>1736.7</x:v>
      </x:c>
      <x:c r="D37" s="93" t="n">
        <x:v>2167.4</x:v>
      </x:c>
      <x:c r="E37" s="93" t="n">
        <x:v>1802</x:v>
      </x:c>
      <x:c r="F37" s="93" t="n">
        <x:v>1931</x:v>
      </x:c>
      <x:c r="G37" s="54" t="str">
        <x:v>S-026 / S-017</x:v>
      </x:c>
      <x:c r="H37" s="56" t="str"/>
    </x:row>
    <x:row r="38">
      <x:c r="A38" s="52" t="str">
        <x:v>Inventory</x:v>
      </x:c>
      <x:c r="B38" s="93" t="n">
        <x:v>798.1</x:v>
      </x:c>
      <x:c r="C38" s="93" t="n">
        <x:v>1054.2</x:v>
      </x:c>
      <x:c r="D38" s="93" t="n">
        <x:v>1404.9</x:v>
      </x:c>
      <x:c r="E38" s="93" t="n">
        <x:v>1293</x:v>
      </x:c>
      <x:c r="F38" s="93" t="n">
        <x:v>1247</x:v>
      </x:c>
      <x:c r="G38" s="54" t="str">
        <x:v>S-026 / S-017</x:v>
      </x:c>
      <x:c r="H38" s="56" t="str"/>
    </x:row>
    <x:row r="39">
      <x:c r="A39" s="99" t="str">
        <x:v>Current assets</x:v>
      </x:c>
      <x:c r="B39" s="100" t="n">
        <x:v>3063.4</x:v>
      </x:c>
      <x:c r="C39" s="100" t="n">
        <x:v>3610.7</x:v>
      </x:c>
      <x:c r="D39" s="100" t="n">
        <x:v>4910.8</x:v>
      </x:c>
      <x:c r="E39" s="100" t="n">
        <x:v>3881</x:v>
      </x:c>
      <x:c r="F39" s="100" t="n">
        <x:v>3911</x:v>
      </x:c>
      <x:c r="G39" s="54" t="str">
        <x:v>S-026 / S-017</x:v>
      </x:c>
      <x:c r="H39" s="56" t="str"/>
    </x:row>
    <x:row r="40">
      <x:c r="A40" s="52" t="str">
        <x:v>Accounts payable</x:v>
      </x:c>
      <x:c r="B40" s="93" t="n">
        <x:v>889.8</x:v>
      </x:c>
      <x:c r="C40" s="93" t="n">
        <x:v>1028</x:v>
      </x:c>
      <x:c r="D40" s="93" t="n">
        <x:v>1150.2</x:v>
      </x:c>
      <x:c r="E40" s="93" t="n">
        <x:v>860</x:v>
      </x:c>
      <x:c r="F40" s="93" t="n">
        <x:v>930</x:v>
      </x:c>
      <x:c r="G40" s="54" t="str">
        <x:v>S-026 / S-017</x:v>
      </x:c>
      <x:c r="H40" s="56" t="str"/>
    </x:row>
    <x:row r="41">
      <x:c r="A41" s="52" t="str">
        <x:v>Current liabilities</x:v>
      </x:c>
      <x:c r="B41" s="93" t="n">
        <x:v>2992.2</x:v>
      </x:c>
      <x:c r="C41" s="93" t="n">
        <x:v>3572.2</x:v>
      </x:c>
      <x:c r="D41" s="93" t="n">
        <x:v>3365.3</x:v>
      </x:c>
      <x:c r="E41" s="93" t="n">
        <x:v>3604</x:v>
      </x:c>
      <x:c r="F41" s="93" t="n">
        <x:v>3445</x:v>
      </x:c>
      <x:c r="G41" s="54" t="str">
        <x:v>S-026 / S-017</x:v>
      </x:c>
      <x:c r="H41" s="56" t="str"/>
    </x:row>
    <x:row r="42">
      <x:c r="A42" s="99" t="str">
        <x:v>Total assets</x:v>
      </x:c>
      <x:c r="B42" s="100" t="n">
        <x:v>10701.6</x:v>
      </x:c>
      <x:c r="C42" s="100" t="n">
        <x:v>10758.7</x:v>
      </x:c>
      <x:c r="D42" s="100" t="n">
        <x:v>11304</x:v>
      </x:c>
      <x:c r="E42" s="100" t="n">
        <x:v>11232</x:v>
      </x:c>
      <x:c r="F42" s="100" t="n">
        <x:v>11219</x:v>
      </x:c>
      <x:c r="G42" s="54" t="str">
        <x:v>S-026 / S-017</x:v>
      </x:c>
      <x:c r="H42" s="56" t="str"/>
    </x:row>
    <x:row r="43">
      <x:c r="A43" s="52" t="str">
        <x:v>Total equity including noncontrolling interests</x:v>
      </x:c>
      <x:c r="B43" s="93" t="n">
        <x:v>2694.1</x:v>
      </x:c>
      <x:c r="C43" s="93" t="n">
        <x:v>3016</x:v>
      </x:c>
      <x:c r="D43" s="93" t="n">
        <x:v>3743</x:v>
      </x:c>
      <x:c r="E43" s="93" t="n">
        <x:v>3675</x:v>
      </x:c>
      <x:c r="F43" s="93" t="n">
        <x:v>3711</x:v>
      </x:c>
      <x:c r="G43" s="54" t="str">
        <x:v>S-026 / S-017</x:v>
      </x:c>
      <x:c r="H43" s="56" t="str"/>
    </x:row>
    <x:row r="44">
      <x:c r="A44" s="99" t="str">
        <x:v>Total liabilities</x:v>
      </x:c>
      <x:c r="B44" s="100" t="n">
        <x:f>B42-B43</x:f>
        <x:v>8007.5</x:v>
      </x:c>
      <x:c r="C44" s="100" t="n">
        <x:f>C42-C43</x:f>
        <x:v>7742.700000000001</x:v>
      </x:c>
      <x:c r="D44" s="100" t="n">
        <x:f>D42-D43</x:f>
        <x:v>7561</x:v>
      </x:c>
      <x:c r="E44" s="100" t="n">
        <x:f>E42-E43</x:f>
        <x:v>7557</x:v>
      </x:c>
      <x:c r="F44" s="100" t="n">
        <x:f>F42-F43</x:f>
        <x:v>7508</x:v>
      </x:c>
      <x:c r="G44" s="54"/>
      <x:c r="H44" s="56"/>
    </x:row>
    <x:row r="45">
      <x:c r="A45" s="52" t="str">
        <x:v>Total debt and finance leases</x:v>
      </x:c>
      <x:c r="B45" s="93" t="n">
        <x:v>3471.4</x:v>
      </x:c>
      <x:c r="C45" s="93" t="n">
        <x:v>3476.9</x:v>
      </x:c>
      <x:c r="D45" s="93" t="n">
        <x:v>2871.5</x:v>
      </x:c>
      <x:c r="E45" s="93" t="n">
        <x:v>2868</x:v>
      </x:c>
      <x:c r="F45" s="93" t="n">
        <x:v>2616</x:v>
      </x:c>
      <x:c r="G45" s="54" t="str">
        <x:v>S-026 / S-017</x:v>
      </x:c>
      <x:c r="H45" s="56" t="str"/>
    </x:row>
    <x:row r="46">
      <x:c r="A46" s="99" t="str">
        <x:v>Net debt</x:v>
      </x:c>
      <x:c r="B46" s="100" t="n">
        <x:f>B45-B35-B36</x:f>
        <x:v>2808.6</x:v>
      </x:c>
      <x:c r="C46" s="100" t="n">
        <x:f>C45-C35-C36</x:f>
        <x:v>2973.6000000000004</x:v>
      </x:c>
      <x:c r="D46" s="100" t="n">
        <x:f>D45-D35-D36</x:f>
        <x:v>1798.9</x:v>
      </x:c>
      <x:c r="E46" s="100" t="n">
        <x:f>E45-E35-E36</x:f>
        <x:v>2396.7</x:v>
      </x:c>
      <x:c r="F46" s="100" t="n">
        <x:f>F45-F35-F36</x:f>
        <x:v>2148</x:v>
      </x:c>
      <x:c r="G46" s="54"/>
      <x:c r="H46" s="56"/>
    </x:row>
    <x:row r="47">
      <x:c r="A47" s="99" t="str">
        <x:v>Balance sheet check</x:v>
      </x:c>
      <x:c r="B47" s="100" t="n">
        <x:f>B42-B43-B44</x:f>
        <x:v>0</x:v>
      </x:c>
      <x:c r="C47" s="100" t="n">
        <x:f>C42-C43-C44</x:f>
        <x:v>0</x:v>
      </x:c>
      <x:c r="D47" s="100" t="n">
        <x:f>D42-D43-D44</x:f>
        <x:v>0</x:v>
      </x:c>
      <x:c r="E47" s="100" t="n">
        <x:f>E42-E43-E44</x:f>
        <x:v>0</x:v>
      </x:c>
      <x:c r="F47" s="100" t="n">
        <x:f>F42-F43-F44</x:f>
        <x:v>0</x:v>
      </x:c>
      <x:c r="G47" s="54"/>
      <x:c r="H47" s="56"/>
    </x:row>
    <x:row r="48">
      <x:c r="A48" s="52" t="str">
        <x:v>Net working capital</x:v>
      </x:c>
      <x:c r="B48" s="93" t="n">
        <x:f>B39-B41</x:f>
        <x:v>71.20000000000027</x:v>
      </x:c>
      <x:c r="C48" s="93" t="n">
        <x:f>C39-C41</x:f>
        <x:v>38.5</x:v>
      </x:c>
      <x:c r="D48" s="93" t="n">
        <x:f>D39-D41</x:f>
        <x:v>1545.5</x:v>
      </x:c>
      <x:c r="E48" s="93" t="n">
        <x:f>E39-E41</x:f>
        <x:v>277</x:v>
      </x:c>
      <x:c r="F48" s="93" t="n">
        <x:f>F39-F41</x:f>
        <x:v>466</x:v>
      </x:c>
      <x:c r="G48" s="54"/>
      <x:c r="H48" s="56"/>
    </x:row>
    <x:row r="49">
      <x:c r="A49" s="52" t="str">
        <x:v>Indicative net leverage</x:v>
      </x:c>
      <x:c r="B49" s="110" t="n">
        <x:f>B46/(B9+B25)</x:f>
        <x:v>1.776358231610904</x:v>
      </x:c>
      <x:c r="C49" s="110" t="n">
        <x:f>C46/(C9+C25)</x:f>
        <x:v>1.6691552062868371</x:v>
      </x:c>
      <x:c r="D49" s="110" t="n">
        <x:f>D46/(D9+D25)</x:f>
        <x:v>0.8255621844882974</x:v>
      </x:c>
      <x:c r="E49" s="110" t="n">
        <x:f>E46/(E9+E25)</x:f>
        <x:v>1.2535041841004184</x:v>
      </x:c>
      <x:c r="F49" s="110" t="n">
        <x:f>F46/(F9+F25)</x:f>
        <x:v>1.0591715976331362</x:v>
      </x:c>
      <x:c r="G49" s="54"/>
      <x:c r="H49" s="56"/>
    </x:row>
    <x:row r="50">
      <x:c r="A50" s="52"/>
      <x:c r="B50" s="53"/>
      <x:c r="C50" s="53"/>
      <x:c r="D50" s="53"/>
      <x:c r="E50" s="53"/>
      <x:c r="F50" s="53"/>
      <x:c r="G50" s="54"/>
      <x:c r="H50" s="56"/>
    </x:row>
    <x:row r="51" ht="19" customHeight="1">
      <x:c r="A51" s="76" t="str">
        <x:v>KEY PERFORMANCE INDICATORS</x:v>
      </x:c>
      <x:c r="B51" s="77"/>
      <x:c r="C51" s="77"/>
      <x:c r="D51" s="77"/>
      <x:c r="E51" s="77"/>
      <x:c r="F51" s="77"/>
      <x:c r="G51" s="78"/>
      <x:c r="H51" s="79"/>
    </x:row>
    <x:row r="52">
      <x:c r="A52" s="88" t="str">
        <x:v>Fiscal year ended</x:v>
      </x:c>
      <x:c r="B52" s="92" t="n">
        <x:v>44469.5</x:v>
      </x:c>
      <x:c r="C52" s="92" t="n">
        <x:v>44834.5</x:v>
      </x:c>
      <x:c r="D52" s="92" t="n">
        <x:v>45199.5</x:v>
      </x:c>
      <x:c r="E52" s="92" t="n">
        <x:v>45565.5</x:v>
      </x:c>
      <x:c r="F52" s="92" t="n">
        <x:v>45930.5</x:v>
      </x:c>
      <x:c r="G52" s="90" t="str">
        <x:v>Source</x:v>
      </x:c>
      <x:c r="H52" s="91" t="str">
        <x:v>Notes</x:v>
      </x:c>
    </x:row>
    <x:row r="53">
      <x:c r="A53" s="52" t="str">
        <x:v>Days sales outstanding</x:v>
      </x:c>
      <x:c r="B53" s="103" t="n">
        <x:f>B37/B7*365</x:f>
        <x:v>74.3050990367851</x:v>
      </x:c>
      <x:c r="C53" s="103" t="n">
        <x:f>C37/C7*365</x:f>
        <x:v>81.68335395082728</x:v>
      </x:c>
      <x:c r="D53" s="103" t="n">
        <x:f>D37/D7*365</x:f>
        <x:v>87.33727092073306</x:v>
      </x:c>
      <x:c r="E53" s="103" t="n">
        <x:f>E37/E7*365</x:f>
        <x:v>79.58978702807357</x:v>
      </x:c>
      <x:c r="F53" s="103" t="n">
        <x:f>F37/F7*365</x:f>
        <x:v>84.4899304723088</x:v>
      </x:c>
      <x:c r="G53" s="54"/>
      <x:c r="H53" s="56"/>
    </x:row>
    <x:row r="54">
      <x:c r="A54" s="52" t="str">
        <x:v>Revenue CAGR since FY2021</x:v>
      </x:c>
      <x:c r="B54" s="94"/>
      <x:c r="C54" s="94" t="n">
        <x:f>(C7/$B$7)^(1/1)-1</x:f>
        <x:v>0.10904050075742422</x:v>
      </x:c>
      <x:c r="D54" s="94" t="n">
        <x:f>(D7/$B$7)^(1/2)-1</x:f>
        <x:v>0.1377525245662803</x:v>
      </x:c>
      <x:c r="E54" s="94" t="n">
        <x:f>(E7/$B$7)^(1/3)-1</x:f>
        <x:v>0.05702324004441017</x:v>
      </x:c>
      <x:c r="F54" s="94" t="n">
        <x:f>(F7/$B$7)^(1/4)-1</x:f>
        <x:v>0.04492079268656135</x:v>
      </x:c>
      <x:c r="G54" s="54"/>
      <x:c r="H54" s="56"/>
    </x:row>
    <x:row r="55">
      <x:c r="A55" s="52" t="str">
        <x:v>Total segment operating margin</x:v>
      </x:c>
      <x:c r="B55" s="94" t="n">
        <x:f>B10</x:f>
        <x:v>0.19883099436933718</x:v>
      </x:c>
      <x:c r="C55" s="94" t="n">
        <x:f>C10</x:f>
        <x:v>0.19877841348384104</x:v>
      </x:c>
      <x:c r="D55" s="94" t="n">
        <x:f>D10</x:f>
        <x:v>0.21296091852506072</x:v>
      </x:c>
      <x:c r="E55" s="94" t="n">
        <x:f>E10</x:f>
        <x:v>0.1930058083252662</x:v>
      </x:c>
      <x:c r="F55" s="94" t="n">
        <x:f>F10</x:f>
        <x:v>0.20414768640613762</x:v>
      </x:c>
      <x:c r="G55" s="54"/>
      <x:c r="H55" s="56"/>
    </x:row>
    <x:row r="56">
      <x:c r="A56" s="52" t="str">
        <x:v>Free cash flow margin</x:v>
      </x:c>
      <x:c r="B56" s="94" t="n">
        <x:f>B30</x:f>
        <x:v>0.16301769228570615</x:v>
      </x:c>
      <x:c r="C56" s="94" t="n">
        <x:f>C30</x:f>
        <x:v>0.08788206793464255</x:v>
      </x:c>
      <x:c r="D56" s="94" t="n">
        <x:f>D30</x:f>
        <x:v>0.13396997129609184</x:v>
      </x:c>
      <x:c r="E56" s="94" t="n">
        <x:f>E30</x:f>
        <x:v>0.07732333010648597</x:v>
      </x:c>
      <x:c r="F56" s="94" t="n">
        <x:f>F30</x:f>
        <x:v>0.16279069767441862</x:v>
      </x:c>
      <x:c r="G56" s="54"/>
      <x:c r="H56" s="56"/>
    </x:row>
    <x:row r="57">
      <x:c r="A57" s="52" t="str">
        <x:v>Net debt</x:v>
      </x:c>
      <x:c r="B57" s="93" t="n">
        <x:f>B46</x:f>
        <x:v>2808.6</x:v>
      </x:c>
      <x:c r="C57" s="93" t="n">
        <x:f>C46</x:f>
        <x:v>2973.6000000000004</x:v>
      </x:c>
      <x:c r="D57" s="93" t="n">
        <x:f>D46</x:f>
        <x:v>1798.9</x:v>
      </x:c>
      <x:c r="E57" s="93" t="n">
        <x:f>E46</x:f>
        <x:v>2396.7</x:v>
      </x:c>
      <x:c r="F57" s="93" t="n">
        <x:f>F46</x:f>
        <x:v>2148</x:v>
      </x:c>
      <x:c r="G57" s="54"/>
      <x:c r="H57" s="56"/>
    </x:row>
    <x:row r="58">
      <x:c r="A58" s="52"/>
      <x:c r="B58" s="53"/>
      <x:c r="C58" s="53"/>
      <x:c r="D58" s="53"/>
      <x:c r="E58" s="53"/>
      <x:c r="F58" s="53"/>
      <x:c r="G58" s="54"/>
      <x:c r="H58" s="56"/>
    </x:row>
    <x:row r="59" ht="19" customHeight="1">
      <x:c r="A59" s="76" t="str">
        <x:v>ANALYST TAKEAWAYS</x:v>
      </x:c>
      <x:c r="B59" s="77"/>
      <x:c r="C59" s="77"/>
      <x:c r="D59" s="77"/>
      <x:c r="E59" s="77"/>
      <x:c r="F59" s="77"/>
      <x:c r="G59" s="78"/>
      <x:c r="H59" s="79"/>
    </x:row>
    <x:row r="60" ht="28" customHeight="1">
      <x:c r="A60" s="107" t="str">
        <x:v>• Rockwell's revenue grew over the five-year period but remained cyclical, peaking in FY2023, declining in FY2024, and returning to modest growth in FY2025.</x:v>
      </x:c>
      <x:c r="B60" s="108"/>
      <x:c r="C60" s="108"/>
      <x:c r="D60" s="108"/>
      <x:c r="E60" s="108"/>
      <x:c r="F60" s="108"/>
      <x:c r="G60" s="109"/>
      <x:c r="H60" s="107"/>
    </x:row>
    <x:row r="61" ht="28" customHeight="1">
      <x:c r="A61" s="107" t="str">
        <x:v>• Total segment operating margin remained near 20% across the cycle, supporting the buyer's earnings base and financing capacity.</x:v>
      </x:c>
      <x:c r="B61" s="108"/>
      <x:c r="C61" s="108"/>
      <x:c r="D61" s="108"/>
      <x:c r="E61" s="108"/>
      <x:c r="F61" s="108"/>
      <x:c r="G61" s="109"/>
      <x:c r="H61" s="107"/>
    </x:row>
    <x:row r="62" ht="28" customHeight="1">
      <x:c r="A62" s="107" t="str">
        <x:v>• Free cash flow was volatile but recovered strongly in FY2025, which is important for debt capacity and post-close deleveraging.</x:v>
      </x:c>
      <x:c r="B62" s="108"/>
      <x:c r="C62" s="108"/>
      <x:c r="D62" s="108"/>
      <x:c r="E62" s="108"/>
      <x:c r="F62" s="108"/>
      <x:c r="G62" s="109"/>
      <x:c r="H62" s="107"/>
    </x:row>
    <x:row r="63" ht="28" customHeight="1">
      <x:c r="A63" s="107" t="str">
        <x:v>• Reported EPS is affected by non-operating items, including fair-value changes in Rockwell's PTC investment; later accretion/dilution work will distinguish reported and normalized earnings.</x:v>
      </x:c>
      <x:c r="B63" s="108"/>
      <x:c r="C63" s="108"/>
      <x:c r="D63" s="108"/>
      <x:c r="E63" s="108"/>
      <x:c r="F63" s="108"/>
      <x:c r="G63" s="109"/>
      <x:c r="H63" s="107"/>
    </x:row>
  </x:sheetData>
  <x:mergeCells>
    <x:mergeCell ref="A1:H1"/>
    <x:mergeCell ref="A2:H2"/>
    <x:mergeCell ref="B3:F3"/>
    <x:mergeCell ref="A5:H5"/>
    <x:mergeCell ref="A22:H22"/>
    <x:mergeCell ref="A33:H33"/>
    <x:mergeCell ref="A51:H51"/>
    <x:mergeCell ref="A59:H59"/>
    <x:mergeCell ref="A60:H60"/>
    <x:mergeCell ref="A61:H61"/>
    <x:mergeCell ref="A62:H62"/>
    <x:mergeCell ref="A63:H63"/>
  </x:mergeCells>
  <x:pageMargins left="0.7" right="0.7" top="0.75" bottom="0.75" header="0.3" footer="0.3"/>
  <x:legacyDrawing xmlns:r="http://schemas.openxmlformats.org/officeDocument/2006/relationships" r:id="R4027c3524d5d43df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CGNX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Cognex historical financial statements and operating KPIs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INCOME STATEMENT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44561.5</x:v>
      </x:c>
      <x:c r="C6" s="92" t="n">
        <x:v>44926.5</x:v>
      </x:c>
      <x:c r="D6" s="92" t="n">
        <x:v>45291.5</x:v>
      </x:c>
      <x:c r="E6" s="92" t="n">
        <x:v>45657.5</x:v>
      </x:c>
      <x:c r="F6" s="92" t="n">
        <x:v>46022.5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1037.098</x:v>
      </x:c>
      <x:c r="C7" s="93" t="n">
        <x:v>1006.09</x:v>
      </x:c>
      <x:c r="D7" s="93" t="n">
        <x:v>837.547</x:v>
      </x:c>
      <x:c r="E7" s="93" t="n">
        <x:v>914.515</x:v>
      </x:c>
      <x:c r="F7" s="93" t="n">
        <x:v>994.359</x:v>
      </x:c>
      <x:c r="G7" s="54" t="str">
        <x:v>S-025 / S-019</x:v>
      </x:c>
      <x:c r="H7" s="56" t="str">
        <x:v>Revenue from contracts with customers</x:v>
      </x:c>
    </x:row>
    <x:row r="8">
      <x:c r="A8" s="52" t="str">
        <x:v>% growth</x:v>
      </x:c>
      <x:c r="B8" s="94"/>
      <x:c r="C8" s="94" t="n">
        <x:f>C7/B7-1</x:f>
        <x:v>-0.029898813805445457</x:v>
      </x:c>
      <x:c r="D8" s="94" t="n">
        <x:f>D7/C7-1</x:f>
        <x:v>-0.16752278623184802</x:v>
      </x:c>
      <x:c r="E8" s="94" t="n">
        <x:f>E7/D7-1</x:f>
        <x:v>0.09189693235125906</x:v>
      </x:c>
      <x:c r="F8" s="94" t="n">
        <x:f>F7/E7-1</x:f>
        <x:v>0.08730747992105115</x:v>
      </x:c>
      <x:c r="G8" s="54"/>
      <x:c r="H8" s="56"/>
    </x:row>
    <x:row r="9">
      <x:c r="A9" s="52" t="str">
        <x:v>Cost of goods sold</x:v>
      </x:c>
      <x:c r="B9" s="93" t="n">
        <x:v>277.271</x:v>
      </x:c>
      <x:c r="C9" s="93" t="n">
        <x:v>284.185</x:v>
      </x:c>
      <x:c r="D9" s="93" t="n">
        <x:v>236.306</x:v>
      </x:c>
      <x:c r="E9" s="93" t="n">
        <x:v>288.721</x:v>
      </x:c>
      <x:c r="F9" s="93" t="n">
        <x:v>328.966</x:v>
      </x:c>
      <x:c r="G9" s="54" t="str">
        <x:v>S-025 / S-019</x:v>
      </x:c>
      <x:c r="H9" s="56" t="str"/>
    </x:row>
    <x:row r="10">
      <x:c r="A10" s="99" t="str">
        <x:v>Gross profit — calculated</x:v>
      </x:c>
      <x:c r="B10" s="100" t="n">
        <x:f>B7-B9</x:f>
        <x:v>759.827</x:v>
      </x:c>
      <x:c r="C10" s="100" t="n">
        <x:f>C7-C9</x:f>
        <x:v>721.905</x:v>
      </x:c>
      <x:c r="D10" s="100" t="n">
        <x:f>D7-D9</x:f>
        <x:v>601.241</x:v>
      </x:c>
      <x:c r="E10" s="100" t="n">
        <x:f>E7-E9</x:f>
        <x:v>625.794</x:v>
      </x:c>
      <x:c r="F10" s="100" t="n">
        <x:f>F7-F9</x:f>
        <x:v>665.393</x:v>
      </x:c>
      <x:c r="G10" s="54"/>
      <x:c r="H10" s="56"/>
    </x:row>
    <x:row r="11">
      <x:c r="A11" s="52" t="str">
        <x:v>Gross profit — reported</x:v>
      </x:c>
      <x:c r="B11" s="93" t="n">
        <x:v>759.827</x:v>
      </x:c>
      <x:c r="C11" s="93" t="n">
        <x:v>721.905</x:v>
      </x:c>
      <x:c r="D11" s="93" t="n">
        <x:v>601.241</x:v>
      </x:c>
      <x:c r="E11" s="93" t="n">
        <x:v>625.794</x:v>
      </x:c>
      <x:c r="F11" s="93" t="n">
        <x:v>665.393</x:v>
      </x:c>
      <x:c r="G11" s="54" t="str">
        <x:v>S-025 / S-019</x:v>
      </x:c>
      <x:c r="H11" s="56" t="str"/>
    </x:row>
    <x:row r="12">
      <x:c r="A12" s="52" t="str">
        <x:v>Gross profit tie-out</x:v>
      </x:c>
      <x:c r="B12" s="93" t="n">
        <x:f>B10-B11</x:f>
        <x:v>0</x:v>
      </x:c>
      <x:c r="C12" s="93" t="n">
        <x:f>C10-C11</x:f>
        <x:v>0</x:v>
      </x:c>
      <x:c r="D12" s="93" t="n">
        <x:f>D10-D11</x:f>
        <x:v>0</x:v>
      </x:c>
      <x:c r="E12" s="93" t="n">
        <x:f>E10-E11</x:f>
        <x:v>0</x:v>
      </x:c>
      <x:c r="F12" s="93" t="n">
        <x:f>F10-F11</x:f>
        <x:v>0</x:v>
      </x:c>
      <x:c r="G12" s="54"/>
      <x:c r="H12" s="56"/>
    </x:row>
    <x:row r="13">
      <x:c r="A13" s="52" t="str">
        <x:v>Gross margin</x:v>
      </x:c>
      <x:c r="B13" s="94" t="n">
        <x:f>B10/B7</x:f>
        <x:v>0.7326472522365293</x:v>
      </x:c>
      <x:c r="C13" s="94" t="n">
        <x:f>C10/C7</x:f>
        <x:v>0.717535210567643</x:v>
      </x:c>
      <x:c r="D13" s="94" t="n">
        <x:f>D10/D7</x:f>
        <x:v>0.7178594156507038</x:v>
      </x:c>
      <x:c r="E13" s="94" t="n">
        <x:f>E10/E7</x:f>
        <x:v>0.6842905802529209</x:v>
      </x:c>
      <x:c r="F13" s="94" t="n">
        <x:f>F10/F7</x:f>
        <x:v>0.6691677754211507</x:v>
      </x:c>
      <x:c r="G13" s="54"/>
      <x:c r="H13" s="56"/>
    </x:row>
    <x:row r="14">
      <x:c r="A14" s="52"/>
      <x:c r="B14" s="53"/>
      <x:c r="C14" s="53"/>
      <x:c r="D14" s="53"/>
      <x:c r="E14" s="53"/>
      <x:c r="F14" s="53"/>
      <x:c r="G14" s="54"/>
      <x:c r="H14" s="56"/>
    </x:row>
    <x:row r="15">
      <x:c r="A15" s="52" t="str">
        <x:v>Research, development &amp; engineering</x:v>
      </x:c>
      <x:c r="B15" s="93" t="n">
        <x:v>135.372</x:v>
      </x:c>
      <x:c r="C15" s="93" t="n">
        <x:v>141.133</x:v>
      </x:c>
      <x:c r="D15" s="93" t="n">
        <x:v>139.4</x:v>
      </x:c>
      <x:c r="E15" s="93" t="n">
        <x:v>139.815</x:v>
      </x:c>
      <x:c r="F15" s="93" t="n">
        <x:v>138.97</x:v>
      </x:c>
      <x:c r="G15" s="54" t="str">
        <x:v>S-025 / S-019</x:v>
      </x:c>
      <x:c r="H15" s="56" t="str"/>
    </x:row>
    <x:row r="16">
      <x:c r="A16" s="52" t="str">
        <x:v>% of revenue</x:v>
      </x:c>
      <x:c r="B16" s="94" t="n">
        <x:f>B15/B7</x:f>
        <x:v>0.13052961243778313</x:v>
      </x:c>
      <x:c r="C16" s="94" t="n">
        <x:f>C15/C7</x:f>
        <x:v>0.14027870270055362</x:v>
      </x:c>
      <x:c r="D16" s="94" t="n">
        <x:f>D15/D7</x:f>
        <x:v>0.1664384207692225</x:v>
      </x:c>
      <x:c r="E16" s="94" t="n">
        <x:f>E15/E7</x:f>
        <x:v>0.15288431573019579</x:v>
      </x:c>
      <x:c r="F16" s="94" t="n">
        <x:f>F15/F7</x:f>
        <x:v>0.1397583770046834</x:v>
      </x:c>
      <x:c r="G16" s="54"/>
      <x:c r="H16" s="56"/>
    </x:row>
    <x:row r="17">
      <x:c r="A17" s="52" t="str">
        <x:v>Selling, general &amp; administrative</x:v>
      </x:c>
      <x:c r="B17" s="93" t="n">
        <x:v>309.354</x:v>
      </x:c>
      <x:c r="C17" s="93" t="n">
        <x:v>312.107</x:v>
      </x:c>
      <x:c r="D17" s="93" t="n">
        <x:v>339.139</x:v>
      </x:c>
      <x:c r="E17" s="93" t="n">
        <x:v>370.914</x:v>
      </x:c>
      <x:c r="F17" s="93" t="n">
        <x:v>363.857</x:v>
      </x:c>
      <x:c r="G17" s="54" t="str">
        <x:v>S-025 / S-019</x:v>
      </x:c>
      <x:c r="H17" s="56" t="str"/>
    </x:row>
    <x:row r="18">
      <x:c r="A18" s="52" t="str">
        <x:v>% of revenue</x:v>
      </x:c>
      <x:c r="B18" s="94" t="n">
        <x:f>B17/B7</x:f>
        <x:v>0.29828810777766424</x:v>
      </x:c>
      <x:c r="C18" s="94" t="n">
        <x:f>C17/C7</x:f>
        <x:v>0.31021777375781495</x:v>
      </x:c>
      <x:c r="D18" s="94" t="n">
        <x:f>D17/D7</x:f>
        <x:v>0.4049193657191775</x:v>
      </x:c>
      <x:c r="E18" s="94" t="n">
        <x:f>E17/E7</x:f>
        <x:v>0.4055854742677813</x:v>
      </x:c>
      <x:c r="F18" s="94" t="n">
        <x:f>F17/F7</x:f>
        <x:v>0.3659211612707282</x:v>
      </x:c>
      <x:c r="G18" s="54"/>
      <x:c r="H18" s="56"/>
    </x:row>
    <x:row r="19">
      <x:c r="A19" s="99" t="str">
        <x:v>Operating income</x:v>
      </x:c>
      <x:c r="B19" s="100" t="n">
        <x:v>315.101</x:v>
      </x:c>
      <x:c r="C19" s="100" t="n">
        <x:v>246.229</x:v>
      </x:c>
      <x:c r="D19" s="100" t="n">
        <x:v>130.702</x:v>
      </x:c>
      <x:c r="E19" s="100" t="n">
        <x:v>115.065</x:v>
      </x:c>
      <x:c r="F19" s="100" t="n">
        <x:v>162.566</x:v>
      </x:c>
      <x:c r="G19" s="54" t="str">
        <x:v>S-025 / S-019</x:v>
      </x:c>
      <x:c r="H19" s="56" t="str"/>
    </x:row>
    <x:row r="20">
      <x:c r="A20" s="52" t="str">
        <x:v>Operating margin</x:v>
      </x:c>
      <x:c r="B20" s="94" t="n">
        <x:f>B19/B7</x:f>
        <x:v>0.3038295320210819</x:v>
      </x:c>
      <x:c r="C20" s="94" t="n">
        <x:f>C19/C7</x:f>
        <x:v>0.24473854227752984</x:v>
      </x:c>
      <x:c r="D20" s="94" t="n">
        <x:f>D19/D7</x:f>
        <x:v>0.1560533319324169</x:v>
      </x:c>
      <x:c r="E20" s="94" t="n">
        <x:f>E19/E7</x:f>
        <x:v>0.1258207902549439</x:v>
      </x:c>
      <x:c r="F20" s="94" t="n">
        <x:f>F19/F7</x:f>
        <x:v>0.16348823714573912</x:v>
      </x:c>
      <x:c r="G20" s="54"/>
      <x:c r="H20" s="56"/>
    </x:row>
    <x:row r="21">
      <x:c r="A21" s="52" t="str">
        <x:v>Net interest and other income</x:v>
      </x:c>
      <x:c r="B21" s="93" t="n">
        <x:f>B22-B19</x:f>
        <x:v>3.798999999999978</x:v>
      </x:c>
      <x:c r="C21" s="93" t="n">
        <x:f>C22-C19</x:f>
        <x:v>4.46599999999998</x:v>
      </x:c>
      <x:c r="D21" s="93" t="n">
        <x:f>D22-D19</x:f>
        <x:v>4.646000000000015</x:v>
      </x:c>
      <x:c r="E21" s="93" t="n">
        <x:f>E22-E19</x:f>
        <x:v>16.424000000000007</x:v>
      </x:c>
      <x:c r="F21" s="93" t="n">
        <x:f>F22-F19</x:f>
        <x:v>20.23599999999999</x:v>
      </x:c>
      <x:c r="G21" s="54"/>
      <x:c r="H21" s="56"/>
    </x:row>
    <x:row r="22">
      <x:c r="A22" s="99" t="str">
        <x:v>Income before income taxes</x:v>
      </x:c>
      <x:c r="B22" s="100" t="n">
        <x:v>318.9</x:v>
      </x:c>
      <x:c r="C22" s="100" t="n">
        <x:v>250.695</x:v>
      </x:c>
      <x:c r="D22" s="100" t="n">
        <x:v>135.348</x:v>
      </x:c>
      <x:c r="E22" s="100" t="n">
        <x:v>131.489</x:v>
      </x:c>
      <x:c r="F22" s="100" t="n">
        <x:v>182.802</x:v>
      </x:c>
      <x:c r="G22" s="54" t="str">
        <x:v>S-025 / S-019</x:v>
      </x:c>
      <x:c r="H22" s="56" t="str"/>
    </x:row>
    <x:row r="23">
      <x:c r="A23" s="52" t="str">
        <x:v>Income tax expense</x:v>
      </x:c>
      <x:c r="B23" s="93" t="n">
        <x:v>39.019</x:v>
      </x:c>
      <x:c r="C23" s="93" t="n">
        <x:v>35.17</x:v>
      </x:c>
      <x:c r="D23" s="93" t="n">
        <x:v>22.114</x:v>
      </x:c>
      <x:c r="E23" s="93" t="n">
        <x:v>25.318</x:v>
      </x:c>
      <x:c r="F23" s="93" t="n">
        <x:v>68.36</x:v>
      </x:c>
      <x:c r="G23" s="54" t="str">
        <x:v>S-025 / S-019</x:v>
      </x:c>
      <x:c r="H23" s="56" t="str"/>
    </x:row>
    <x:row r="24">
      <x:c r="A24" s="52" t="str">
        <x:v>Effective tax rate</x:v>
      </x:c>
      <x:c r="B24" s="94" t="n">
        <x:f>B23/B22</x:f>
        <x:v>0.12235497021009721</x:v>
      </x:c>
      <x:c r="C24" s="94" t="n">
        <x:f>C23/C22</x:f>
        <x:v>0.14028999381718824</x:v>
      </x:c>
      <x:c r="D24" s="94" t="n">
        <x:f>D23/D22</x:f>
        <x:v>0.16338623400419658</x:v>
      </x:c>
      <x:c r="E24" s="94" t="n">
        <x:f>E23/E22</x:f>
        <x:v>0.19254842610408476</x:v>
      </x:c>
      <x:c r="F24" s="94" t="n">
        <x:f>F23/F22</x:f>
        <x:v>0.37395652126344353</x:v>
      </x:c>
      <x:c r="G24" s="54"/>
      <x:c r="H24" s="56"/>
    </x:row>
    <x:row r="25">
      <x:c r="A25" s="99" t="str">
        <x:v>Net income</x:v>
      </x:c>
      <x:c r="B25" s="100" t="n">
        <x:v>279.881</x:v>
      </x:c>
      <x:c r="C25" s="100" t="n">
        <x:v>215.525</x:v>
      </x:c>
      <x:c r="D25" s="100" t="n">
        <x:v>113.234</x:v>
      </x:c>
      <x:c r="E25" s="100" t="n">
        <x:v>106.171</x:v>
      </x:c>
      <x:c r="F25" s="100" t="n">
        <x:v>114.442</x:v>
      </x:c>
      <x:c r="G25" s="54" t="str">
        <x:v>S-025 / S-019</x:v>
      </x:c>
      <x:c r="H25" s="56" t="str"/>
    </x:row>
    <x:row r="26">
      <x:c r="A26" s="52" t="str">
        <x:v>Net income margin</x:v>
      </x:c>
      <x:c r="B26" s="94" t="n">
        <x:f>B25/B7</x:f>
        <x:v>0.26986938553540746</x:v>
      </x:c>
      <x:c r="C26" s="94" t="n">
        <x:f>C25/C7</x:f>
        <x:v>0.21422039777753482</x:v>
      </x:c>
      <x:c r="D26" s="94" t="n">
        <x:f>D25/D7</x:f>
        <x:v>0.13519718893387475</x:v>
      </x:c>
      <x:c r="E26" s="94" t="n">
        <x:f>E25/E7</x:f>
        <x:v>0.11609541669628165</x:v>
      </x:c>
      <x:c r="F26" s="94" t="n">
        <x:f>F25/F7</x:f>
        <x:v>0.11509122962632207</x:v>
      </x:c>
      <x:c r="G26" s="54"/>
      <x:c r="H26" s="56"/>
    </x:row>
    <x:row r="27">
      <x:c r="A27" s="52" t="str">
        <x:v>Diluted weighted average shares</x:v>
      </x:c>
      <x:c r="B27" s="95" t="n">
        <x:v>179.916</x:v>
      </x:c>
      <x:c r="C27" s="95" t="n">
        <x:v>174.869</x:v>
      </x:c>
      <x:c r="D27" s="95" t="n">
        <x:v>173.399</x:v>
      </x:c>
      <x:c r="E27" s="95" t="n">
        <x:v>172.611</x:v>
      </x:c>
      <x:c r="F27" s="95" t="n">
        <x:v>169.367</x:v>
      </x:c>
      <x:c r="G27" s="54" t="str">
        <x:v>S-025 / S-019</x:v>
      </x:c>
      <x:c r="H27" s="56" t="str"/>
    </x:row>
    <x:row r="28">
      <x:c r="A28" s="99" t="str">
        <x:v>Diluted EPS — calculated</x:v>
      </x:c>
      <x:c r="B28" s="102" t="n">
        <x:f>B25/B27</x:f>
        <x:v>1.5556204006314056</x:v>
      </x:c>
      <x:c r="C28" s="102" t="n">
        <x:f>C25/C27</x:f>
        <x:v>1.2324940383944554</x:v>
      </x:c>
      <x:c r="D28" s="102" t="n">
        <x:f>D25/D27</x:f>
        <x:v>0.6530256806555977</x:v>
      </x:c>
      <x:c r="E28" s="102" t="n">
        <x:f>E25/E27</x:f>
        <x:v>0.615088262045872</x:v>
      </x:c>
      <x:c r="F28" s="102" t="n">
        <x:f>F25/F27</x:f>
        <x:v>0.6757042399050582</x:v>
      </x:c>
      <x:c r="G28" s="54"/>
      <x:c r="H28" s="56"/>
    </x:row>
    <x:row r="29">
      <x:c r="A29" s="52" t="str">
        <x:v>Diluted EPS — reported</x:v>
      </x:c>
      <x:c r="B29" s="96" t="n">
        <x:v>1.56</x:v>
      </x:c>
      <x:c r="C29" s="96" t="n">
        <x:v>1.23</x:v>
      </x:c>
      <x:c r="D29" s="96" t="n">
        <x:v>0.65</x:v>
      </x:c>
      <x:c r="E29" s="96" t="n">
        <x:v>0.62</x:v>
      </x:c>
      <x:c r="F29" s="96" t="n">
        <x:v>0.68</x:v>
      </x:c>
      <x:c r="G29" s="54" t="str">
        <x:v>S-025 / S-019</x:v>
      </x:c>
      <x:c r="H29" s="56" t="str"/>
    </x:row>
    <x:row r="30">
      <x:c r="A30" s="52" t="str">
        <x:v>EPS tie-out</x:v>
      </x:c>
      <x:c r="B30" s="97" t="n">
        <x:f>B28-B29</x:f>
        <x:v>-0.0043795993685944445</x:v>
      </x:c>
      <x:c r="C30" s="97" t="n">
        <x:f>C28-C29</x:f>
        <x:v>0.002494038394455389</x:v>
      </x:c>
      <x:c r="D30" s="97" t="n">
        <x:f>D28-D29</x:f>
        <x:v>0.003025680655597718</x:v>
      </x:c>
      <x:c r="E30" s="97" t="n">
        <x:f>E28-E29</x:f>
        <x:v>-0.004911737954128026</x:v>
      </x:c>
      <x:c r="F30" s="97" t="n">
        <x:f>F28-F29</x:f>
        <x:v>-0.004295760094941814</x:v>
      </x:c>
      <x:c r="G30" s="54"/>
      <x:c r="H30" s="56"/>
    </x:row>
    <x:row r="31">
      <x:c r="A31" s="52"/>
      <x:c r="B31" s="53"/>
      <x:c r="C31" s="53"/>
      <x:c r="D31" s="53"/>
      <x:c r="E31" s="53"/>
      <x:c r="F31" s="53"/>
      <x:c r="G31" s="54"/>
      <x:c r="H31" s="56"/>
    </x:row>
    <x:row r="32" ht="19" customHeight="1">
      <x:c r="A32" s="76" t="str">
        <x:v>CASH FLOW AND CASH CONVERSION</x:v>
      </x:c>
      <x:c r="B32" s="77"/>
      <x:c r="C32" s="77"/>
      <x:c r="D32" s="77"/>
      <x:c r="E32" s="77"/>
      <x:c r="F32" s="77"/>
      <x:c r="G32" s="78"/>
      <x:c r="H32" s="79"/>
    </x:row>
    <x:row r="33">
      <x:c r="A33" s="88" t="str">
        <x:v>Fiscal year ended</x:v>
      </x:c>
      <x:c r="B33" s="92" t="n">
        <x:v>44561.5</x:v>
      </x:c>
      <x:c r="C33" s="92" t="n">
        <x:v>44926.5</x:v>
      </x:c>
      <x:c r="D33" s="92" t="n">
        <x:v>45291.5</x:v>
      </x:c>
      <x:c r="E33" s="92" t="n">
        <x:v>45657.5</x:v>
      </x:c>
      <x:c r="F33" s="92" t="n">
        <x:v>46022.5</x:v>
      </x:c>
      <x:c r="G33" s="90" t="str">
        <x:v>Source</x:v>
      </x:c>
      <x:c r="H33" s="91" t="str">
        <x:v>Notes</x:v>
      </x:c>
    </x:row>
    <x:row r="34">
      <x:c r="A34" s="52" t="str">
        <x:v>Net income</x:v>
      </x:c>
      <x:c r="B34" s="93" t="n">
        <x:f>B25</x:f>
        <x:v>279.881</x:v>
      </x:c>
      <x:c r="C34" s="93" t="n">
        <x:f>C25</x:f>
        <x:v>215.525</x:v>
      </x:c>
      <x:c r="D34" s="93" t="n">
        <x:f>D25</x:f>
        <x:v>113.234</x:v>
      </x:c>
      <x:c r="E34" s="93" t="n">
        <x:f>E25</x:f>
        <x:v>106.171</x:v>
      </x:c>
      <x:c r="F34" s="93" t="n">
        <x:f>F25</x:f>
        <x:v>114.442</x:v>
      </x:c>
      <x:c r="G34" s="54"/>
      <x:c r="H34" s="56"/>
    </x:row>
    <x:row r="35">
      <x:c r="A35" s="52" t="str">
        <x:v>Depreciation</x:v>
      </x:c>
      <x:c r="B35" s="93" t="n">
        <x:v>16.616</x:v>
      </x:c>
      <x:c r="C35" s="93" t="n">
        <x:v>16.347</x:v>
      </x:c>
      <x:c r="D35" s="93" t="n">
        <x:v>17.27</x:v>
      </x:c>
      <x:c r="E35" s="93" t="n">
        <x:v>21.271</x:v>
      </x:c>
      <x:c r="F35" s="93" t="n">
        <x:v>20.289</x:v>
      </x:c>
      <x:c r="G35" s="54" t="str">
        <x:v>S-025 / S-019</x:v>
      </x:c>
      <x:c r="H35" s="56" t="str"/>
    </x:row>
    <x:row r="36">
      <x:c r="A36" s="52" t="str">
        <x:v>Amortization of intangible assets</x:v>
      </x:c>
      <x:c r="B36" s="93" t="n">
        <x:v>3.667</x:v>
      </x:c>
      <x:c r="C36" s="93" t="n">
        <x:v>3.274</x:v>
      </x:c>
      <x:c r="D36" s="93" t="n">
        <x:v>4.61</x:v>
      </x:c>
      <x:c r="E36" s="93" t="n">
        <x:v>11.418</x:v>
      </x:c>
      <x:c r="F36" s="93" t="n">
        <x:v>10.504</x:v>
      </x:c>
      <x:c r="G36" s="54" t="str">
        <x:v>S-025 / S-019</x:v>
      </x:c>
      <x:c r="H36" s="56" t="str"/>
    </x:row>
    <x:row r="37">
      <x:c r="A37" s="99" t="str">
        <x:v>Depreciation &amp; amortization</x:v>
      </x:c>
      <x:c r="B37" s="100" t="n">
        <x:f>SUM(B35:B36)</x:f>
        <x:v>20.283</x:v>
      </x:c>
      <x:c r="C37" s="100" t="n">
        <x:f>SUM(C35:C36)</x:f>
        <x:v>19.621000000000002</x:v>
      </x:c>
      <x:c r="D37" s="100" t="n">
        <x:f>SUM(D35:D36)</x:f>
        <x:v>21.88</x:v>
      </x:c>
      <x:c r="E37" s="100" t="n">
        <x:f>SUM(E35:E36)</x:f>
        <x:v>32.689</x:v>
      </x:c>
      <x:c r="F37" s="100" t="n">
        <x:f>SUM(F35:F36)</x:f>
        <x:v>30.793</x:v>
      </x:c>
      <x:c r="G37" s="54"/>
      <x:c r="H37" s="56"/>
    </x:row>
    <x:row r="38">
      <x:c r="A38" s="52" t="str">
        <x:v>Stock-based compensation</x:v>
      </x:c>
      <x:c r="B38" s="93" t="n">
        <x:v>43.774</x:v>
      </x:c>
      <x:c r="C38" s="93" t="n">
        <x:v>54.505</x:v>
      </x:c>
      <x:c r="D38" s="93" t="n">
        <x:v>54.768</x:v>
      </x:c>
      <x:c r="E38" s="93" t="n">
        <x:v>52.443</x:v>
      </x:c>
      <x:c r="F38" s="93" t="n">
        <x:v>48.517</x:v>
      </x:c>
      <x:c r="G38" s="54" t="str">
        <x:v>S-025 / S-019</x:v>
      </x:c>
      <x:c r="H38" s="56" t="str"/>
    </x:row>
    <x:row r="39">
      <x:c r="A39" s="99" t="str">
        <x:v>Cash provided by operating activities</x:v>
      </x:c>
      <x:c r="B39" s="100" t="n">
        <x:v>314.065</x:v>
      </x:c>
      <x:c r="C39" s="100" t="n">
        <x:v>243.406</x:v>
      </x:c>
      <x:c r="D39" s="100" t="n">
        <x:v>112.916</x:v>
      </x:c>
      <x:c r="E39" s="100" t="n">
        <x:v>149.081</x:v>
      </x:c>
      <x:c r="F39" s="100" t="n">
        <x:v>245.514</x:v>
      </x:c>
      <x:c r="G39" s="54" t="str">
        <x:v>S-025 / S-019</x:v>
      </x:c>
      <x:c r="H39" s="56" t="str"/>
    </x:row>
    <x:row r="40">
      <x:c r="A40" s="52" t="str">
        <x:v>Capital expenditures</x:v>
      </x:c>
      <x:c r="B40" s="93" t="n">
        <x:v>-15.455</x:v>
      </x:c>
      <x:c r="C40" s="93" t="n">
        <x:v>-19.667</x:v>
      </x:c>
      <x:c r="D40" s="93" t="n">
        <x:v>-23.077</x:v>
      </x:c>
      <x:c r="E40" s="93" t="n">
        <x:v>-15.043</x:v>
      </x:c>
      <x:c r="F40" s="93" t="n">
        <x:v>-8.743</x:v>
      </x:c>
      <x:c r="G40" s="54" t="str">
        <x:v>S-025 / S-019</x:v>
      </x:c>
      <x:c r="H40" s="56" t="str">
        <x:v>Presented as a cash outflow</x:v>
      </x:c>
    </x:row>
    <x:row r="41">
      <x:c r="A41" s="99" t="str">
        <x:v>Free cash flow</x:v>
      </x:c>
      <x:c r="B41" s="100" t="n">
        <x:f>SUM(B39:B40)</x:f>
        <x:v>298.61</x:v>
      </x:c>
      <x:c r="C41" s="100" t="n">
        <x:f>SUM(C39:C40)</x:f>
        <x:v>223.739</x:v>
      </x:c>
      <x:c r="D41" s="100" t="n">
        <x:f>SUM(D39:D40)</x:f>
        <x:v>89.839</x:v>
      </x:c>
      <x:c r="E41" s="100" t="n">
        <x:f>SUM(E39:E40)</x:f>
        <x:v>134.03799999999998</x:v>
      </x:c>
      <x:c r="F41" s="100" t="n">
        <x:f>SUM(F39:F40)</x:f>
        <x:v>236.77100000000002</x:v>
      </x:c>
      <x:c r="G41" s="54"/>
      <x:c r="H41" s="56"/>
    </x:row>
    <x:row r="42">
      <x:c r="A42" s="52" t="str">
        <x:v>Free cash flow margin</x:v>
      </x:c>
      <x:c r="B42" s="94" t="n">
        <x:f>B41/B7</x:f>
        <x:v>0.2879284310643739</x:v>
      </x:c>
      <x:c r="C42" s="94" t="n">
        <x:f>C41/C7</x:f>
        <x:v>0.22238467731515074</x:v>
      </x:c>
      <x:c r="D42" s="94" t="n">
        <x:f>D41/D7</x:f>
        <x:v>0.10726442814552496</x:v>
      </x:c>
      <x:c r="E42" s="94" t="n">
        <x:f>E41/E7</x:f>
        <x:v>0.1465673061677501</x:v>
      </x:c>
      <x:c r="F42" s="94" t="n">
        <x:f>F41/F7</x:f>
        <x:v>0.2381142022146931</x:v>
      </x:c>
      <x:c r="G42" s="54"/>
      <x:c r="H42" s="56"/>
    </x:row>
    <x:row r="43">
      <x:c r="A43" s="52" t="str">
        <x:v>Free cash flow / net income</x:v>
      </x:c>
      <x:c r="B43" s="94" t="n">
        <x:f>B41/B34</x:f>
        <x:v>1.0669177257477287</x:v>
      </x:c>
      <x:c r="C43" s="94" t="n">
        <x:f>C41/C34</x:f>
        <x:v>1.0381115879828327</x:v>
      </x:c>
      <x:c r="D43" s="94" t="n">
        <x:f>D41/D34</x:f>
        <x:v>0.7933924439655934</x:v>
      </x:c>
      <x:c r="E43" s="94" t="n">
        <x:f>E41/E34</x:f>
        <x:v>1.262472803307871</x:v>
      </x:c>
      <x:c r="F43" s="94" t="n">
        <x:f>F41/F34</x:f>
        <x:v>2.068917005994303</x:v>
      </x:c>
      <x:c r="G43" s="54"/>
      <x:c r="H43" s="56"/>
    </x:row>
    <x:row r="44">
      <x:c r="A44" s="52"/>
      <x:c r="B44" s="53"/>
      <x:c r="C44" s="53"/>
      <x:c r="D44" s="53"/>
      <x:c r="E44" s="53"/>
      <x:c r="F44" s="53"/>
      <x:c r="G44" s="54"/>
      <x:c r="H44" s="56"/>
    </x:row>
    <x:row r="45" ht="19" customHeight="1">
      <x:c r="A45" s="76" t="str">
        <x:v>BALANCE SHEET AND LIQUIDITY</x:v>
      </x:c>
      <x:c r="B45" s="77"/>
      <x:c r="C45" s="77"/>
      <x:c r="D45" s="77"/>
      <x:c r="E45" s="77"/>
      <x:c r="F45" s="77"/>
      <x:c r="G45" s="78"/>
      <x:c r="H45" s="79"/>
    </x:row>
    <x:row r="46">
      <x:c r="A46" s="88" t="str">
        <x:v>Fiscal year ended</x:v>
      </x:c>
      <x:c r="B46" s="92" t="n">
        <x:v>44561.5</x:v>
      </x:c>
      <x:c r="C46" s="92" t="n">
        <x:v>44926.5</x:v>
      </x:c>
      <x:c r="D46" s="92" t="n">
        <x:v>45291.5</x:v>
      </x:c>
      <x:c r="E46" s="92" t="n">
        <x:v>45657.5</x:v>
      </x:c>
      <x:c r="F46" s="92" t="n">
        <x:v>46022.5</x:v>
      </x:c>
      <x:c r="G46" s="90" t="str">
        <x:v>Source</x:v>
      </x:c>
      <x:c r="H46" s="91" t="str">
        <x:v>Notes</x:v>
      </x:c>
    </x:row>
    <x:row r="47">
      <x:c r="A47" s="52" t="str">
        <x:v>Cash and cash equivalents</x:v>
      </x:c>
      <x:c r="B47" s="93" t="n">
        <x:v>186.161</x:v>
      </x:c>
      <x:c r="C47" s="93" t="n">
        <x:v>181.374</x:v>
      </x:c>
      <x:c r="D47" s="93" t="n">
        <x:v>202.655</x:v>
      </x:c>
      <x:c r="E47" s="93" t="n">
        <x:v>186.094</x:v>
      </x:c>
      <x:c r="F47" s="93" t="n">
        <x:v>262.925</x:v>
      </x:c>
      <x:c r="G47" s="54" t="str">
        <x:v>S-025 / S-019</x:v>
      </x:c>
      <x:c r="H47" s="56" t="str"/>
    </x:row>
    <x:row r="48">
      <x:c r="A48" s="52" t="str">
        <x:v>Marketable debt securities</x:v>
      </x:c>
      <x:c r="B48" s="93" t="n">
        <x:v>721.203</x:v>
      </x:c>
      <x:c r="C48" s="93" t="n">
        <x:v>672.876</x:v>
      </x:c>
      <x:c r="D48" s="93" t="n">
        <x:v>373.622</x:v>
      </x:c>
      <x:c r="E48" s="93" t="n">
        <x:v>400.854</x:v>
      </x:c>
      <x:c r="F48" s="93" t="n">
        <x:v>379.376</x:v>
      </x:c>
      <x:c r="G48" s="54" t="str">
        <x:v>S-025 / S-019</x:v>
      </x:c>
      <x:c r="H48" s="56" t="str">
        <x:v>Current and non-current available-for-sale securities</x:v>
      </x:c>
    </x:row>
    <x:row r="49">
      <x:c r="A49" s="52" t="str">
        <x:v>Accounts receivable</x:v>
      </x:c>
      <x:c r="B49" s="93" t="n">
        <x:v>130.348</x:v>
      </x:c>
      <x:c r="C49" s="93" t="n">
        <x:v>125.417</x:v>
      </x:c>
      <x:c r="D49" s="93" t="n">
        <x:v>114.164</x:v>
      </x:c>
      <x:c r="E49" s="93" t="n">
        <x:v>143.359</x:v>
      </x:c>
      <x:c r="F49" s="93" t="n">
        <x:v>146.713</x:v>
      </x:c>
      <x:c r="G49" s="54" t="str">
        <x:v>S-025 / S-019</x:v>
      </x:c>
      <x:c r="H49" s="56" t="str"/>
    </x:row>
    <x:row r="50">
      <x:c r="A50" s="52" t="str">
        <x:v>Inventory</x:v>
      </x:c>
      <x:c r="B50" s="93" t="n">
        <x:v>113.102</x:v>
      </x:c>
      <x:c r="C50" s="93" t="n">
        <x:v>122.48</x:v>
      </x:c>
      <x:c r="D50" s="93" t="n">
        <x:v>162.285</x:v>
      </x:c>
      <x:c r="E50" s="93" t="n">
        <x:v>157.527</x:v>
      </x:c>
      <x:c r="F50" s="93" t="n">
        <x:v>137.889</x:v>
      </x:c>
      <x:c r="G50" s="54" t="str">
        <x:v>S-025 / S-019</x:v>
      </x:c>
      <x:c r="H50" s="56" t="str"/>
    </x:row>
    <x:row r="51">
      <x:c r="A51" s="99" t="str">
        <x:v>Current assets</x:v>
      </x:c>
      <x:c r="B51" s="100" t="n">
        <x:v>639.798</x:v>
      </x:c>
      <x:c r="C51" s="100" t="n">
        <x:v>717.699</x:v>
      </x:c>
      <x:c r="D51" s="100" t="n">
        <x:v>678.997</x:v>
      </x:c>
      <x:c r="E51" s="100" t="n">
        <x:v>613.367</x:v>
      </x:c>
      <x:c r="F51" s="100" t="n">
        <x:v>697.246</x:v>
      </x:c>
      <x:c r="G51" s="54" t="str">
        <x:v>S-025 / S-019</x:v>
      </x:c>
      <x:c r="H51" s="56" t="str"/>
    </x:row>
    <x:row r="52">
      <x:c r="A52" s="52" t="str">
        <x:v>Accounts payable</x:v>
      </x:c>
      <x:c r="B52" s="93" t="n">
        <x:v>44.051</x:v>
      </x:c>
      <x:c r="C52" s="93" t="n">
        <x:v>27.103</x:v>
      </x:c>
      <x:c r="D52" s="93" t="n">
        <x:v>21.454</x:v>
      </x:c>
      <x:c r="E52" s="93" t="n">
        <x:v>38.046</x:v>
      </x:c>
      <x:c r="F52" s="93" t="n">
        <x:v>50.203</x:v>
      </x:c>
      <x:c r="G52" s="54" t="str">
        <x:v>S-025 / S-019</x:v>
      </x:c>
      <x:c r="H52" s="56" t="str"/>
    </x:row>
    <x:row r="53">
      <x:c r="A53" s="52" t="str">
        <x:v>Current liabilities</x:v>
      </x:c>
      <x:c r="B53" s="93" t="n">
        <x:v>188.589</x:v>
      </x:c>
      <x:c r="C53" s="93" t="n">
        <x:v>187.708</x:v>
      </x:c>
      <x:c r="D53" s="93" t="n">
        <x:v>151.884</x:v>
      </x:c>
      <x:c r="E53" s="93" t="n">
        <x:v>169.38</x:v>
      </x:c>
      <x:c r="F53" s="93" t="n">
        <x:v>183.551</x:v>
      </x:c>
      <x:c r="G53" s="54" t="str">
        <x:v>S-025 / S-019</x:v>
      </x:c>
      <x:c r="H53" s="56" t="str"/>
    </x:row>
    <x:row r="54">
      <x:c r="A54" s="99" t="str">
        <x:v>Total assets</x:v>
      </x:c>
      <x:c r="B54" s="100" t="n">
        <x:v>2003.662</x:v>
      </x:c>
      <x:c r="C54" s="100" t="n">
        <x:v>1958.14</x:v>
      </x:c>
      <x:c r="D54" s="100" t="n">
        <x:v>2017.812</x:v>
      </x:c>
      <x:c r="E54" s="100" t="n">
        <x:v>1992.85</x:v>
      </x:c>
      <x:c r="F54" s="100" t="n">
        <x:v>2016.555</x:v>
      </x:c>
      <x:c r="G54" s="54" t="str">
        <x:v>S-025 / S-019</x:v>
      </x:c>
      <x:c r="H54" s="56" t="str"/>
    </x:row>
    <x:row r="55">
      <x:c r="A55" s="52" t="str">
        <x:v>Total liabilities</x:v>
      </x:c>
      <x:c r="B55" s="93" t="n">
        <x:v>573.569</x:v>
      </x:c>
      <x:c r="C55" s="93" t="n">
        <x:v>519.746</x:v>
      </x:c>
      <x:c r="D55" s="93" t="n">
        <x:v>513.06</x:v>
      </x:c>
      <x:c r="E55" s="93" t="n">
        <x:v>475.345</x:v>
      </x:c>
      <x:c r="F55" s="93" t="n">
        <x:v>524.654</x:v>
      </x:c>
      <x:c r="G55" s="54" t="str">
        <x:v>S-025 / S-019</x:v>
      </x:c>
      <x:c r="H55" s="56" t="str"/>
    </x:row>
    <x:row r="56">
      <x:c r="A56" s="99" t="str">
        <x:v>Stockholders' equity</x:v>
      </x:c>
      <x:c r="B56" s="100" t="n">
        <x:v>1430.093</x:v>
      </x:c>
      <x:c r="C56" s="100" t="n">
        <x:v>1438.394</x:v>
      </x:c>
      <x:c r="D56" s="100" t="n">
        <x:v>1504.752</x:v>
      </x:c>
      <x:c r="E56" s="100" t="n">
        <x:v>1517.505</x:v>
      </x:c>
      <x:c r="F56" s="100" t="n">
        <x:v>1491.901</x:v>
      </x:c>
      <x:c r="G56" s="54" t="str">
        <x:v>S-025 / S-019</x:v>
      </x:c>
      <x:c r="H56" s="56" t="str"/>
    </x:row>
    <x:row r="57">
      <x:c r="A57" s="52" t="str">
        <x:v>Total debt</x:v>
      </x:c>
      <x:c r="B57" s="93" t="n">
        <x:v>0</x:v>
      </x:c>
      <x:c r="C57" s="93" t="n">
        <x:v>0</x:v>
      </x:c>
      <x:c r="D57" s="93" t="n">
        <x:v>0</x:v>
      </x:c>
      <x:c r="E57" s="93" t="n">
        <x:v>0</x:v>
      </x:c>
      <x:c r="F57" s="93" t="n">
        <x:v>0</x:v>
      </x:c>
      <x:c r="G57" s="54" t="str">
        <x:v>S-025 / S-019</x:v>
      </x:c>
      <x:c r="H57" s="56" t="str">
        <x:v>No funded debt reported at fiscal year-end</x:v>
      </x:c>
    </x:row>
    <x:row r="58">
      <x:c r="A58" s="99" t="str">
        <x:v>Net cash and investments</x:v>
      </x:c>
      <x:c r="B58" s="100" t="n">
        <x:f>SUM(B47:B48)-B57</x:f>
        <x:v>907.364</x:v>
      </x:c>
      <x:c r="C58" s="100" t="n">
        <x:f>SUM(C47:C48)-C57</x:f>
        <x:v>854.25</x:v>
      </x:c>
      <x:c r="D58" s="100" t="n">
        <x:f>SUM(D47:D48)-D57</x:f>
        <x:v>576.277</x:v>
      </x:c>
      <x:c r="E58" s="100" t="n">
        <x:f>SUM(E47:E48)-E57</x:f>
        <x:v>586.948</x:v>
      </x:c>
      <x:c r="F58" s="100" t="n">
        <x:f>SUM(F47:F48)-F57</x:f>
        <x:v>642.3009999999999</x:v>
      </x:c>
      <x:c r="G58" s="54"/>
      <x:c r="H58" s="56"/>
    </x:row>
    <x:row r="59">
      <x:c r="A59" s="99" t="str">
        <x:v>Balance sheet check</x:v>
      </x:c>
      <x:c r="B59" s="100" t="n">
        <x:f>B54-B55-B56</x:f>
        <x:v>0</x:v>
      </x:c>
      <x:c r="C59" s="100" t="n">
        <x:f>C54-C55-C56</x:f>
        <x:v>2.2737367544323206e-13</x:v>
      </x:c>
      <x:c r="D59" s="100" t="n">
        <x:f>D54-D55-D56</x:f>
        <x:v>0</x:v>
      </x:c>
      <x:c r="E59" s="100" t="n">
        <x:f>E54-E55-E56</x:f>
        <x:v>-2.2737367544323206e-13</x:v>
      </x:c>
      <x:c r="F59" s="100" t="n">
        <x:f>F54-F55-F56</x:f>
        <x:v>0</x:v>
      </x:c>
      <x:c r="G59" s="54"/>
      <x:c r="H59" s="56"/>
    </x:row>
    <x:row r="60">
      <x:c r="A60" s="99" t="str">
        <x:v>Net working capital</x:v>
      </x:c>
      <x:c r="B60" s="100" t="n">
        <x:f>B51-B53</x:f>
        <x:v>451.209</x:v>
      </x:c>
      <x:c r="C60" s="100" t="n">
        <x:f>C51-C53</x:f>
        <x:v>529.991</x:v>
      </x:c>
      <x:c r="D60" s="100" t="n">
        <x:f>D51-D53</x:f>
        <x:v>527.1129999999999</x:v>
      </x:c>
      <x:c r="E60" s="100" t="n">
        <x:f>E51-E53</x:f>
        <x:v>443.98699999999997</x:v>
      </x:c>
      <x:c r="F60" s="100" t="n">
        <x:f>F51-F53</x:f>
        <x:v>513.6949999999999</x:v>
      </x:c>
      <x:c r="G60" s="54"/>
      <x:c r="H60" s="56"/>
    </x:row>
    <x:row r="61">
      <x:c r="A61" s="52" t="str">
        <x:v>Operating NWC proxy (A/R + inventory - A/P)</x:v>
      </x:c>
      <x:c r="B61" s="93" t="n">
        <x:f>B49+B50-B52</x:f>
        <x:v>199.399</x:v>
      </x:c>
      <x:c r="C61" s="93" t="n">
        <x:f>C49+C50-C52</x:f>
        <x:v>220.79399999999998</x:v>
      </x:c>
      <x:c r="D61" s="93" t="n">
        <x:f>D49+D50-D52</x:f>
        <x:v>254.995</x:v>
      </x:c>
      <x:c r="E61" s="93" t="n">
        <x:f>E49+E50-E52</x:f>
        <x:v>262.84</x:v>
      </x:c>
      <x:c r="F61" s="93" t="n">
        <x:f>F49+F50-F52</x:f>
        <x:v>234.39899999999997</x:v>
      </x:c>
      <x:c r="G61" s="54"/>
      <x:c r="H61" s="56"/>
    </x:row>
    <x:row r="62">
      <x:c r="A62" s="52" t="str">
        <x:v>Operating NWC proxy / revenue</x:v>
      </x:c>
      <x:c r="B62" s="94" t="n">
        <x:f>B61/B7</x:f>
        <x:v>0.19226630463080635</x:v>
      </x:c>
      <x:c r="C62" s="94" t="n">
        <x:f>C61/C7</x:f>
        <x:v>0.21945750380184673</x:v>
      </x:c>
      <x:c r="D62" s="94" t="n">
        <x:f>D61/D7</x:f>
        <x:v>0.30445455598312693</x:v>
      </x:c>
      <x:c r="E62" s="94" t="n">
        <x:f>E61/E7</x:f>
        <x:v>0.28740917316829134</x:v>
      </x:c>
      <x:c r="F62" s="94" t="n">
        <x:f>F61/F7</x:f>
        <x:v>0.2357287458553701</x:v>
      </x:c>
      <x:c r="G62" s="54"/>
      <x:c r="H62" s="56"/>
    </x:row>
    <x:row r="63">
      <x:c r="A63" s="52"/>
      <x:c r="B63" s="53"/>
      <x:c r="C63" s="53"/>
      <x:c r="D63" s="53"/>
      <x:c r="E63" s="53"/>
      <x:c r="F63" s="53"/>
      <x:c r="G63" s="54"/>
      <x:c r="H63" s="56"/>
    </x:row>
    <x:row r="64" ht="19" customHeight="1">
      <x:c r="A64" s="76" t="str">
        <x:v>OPERATING KPIs</x:v>
      </x:c>
      <x:c r="B64" s="77"/>
      <x:c r="C64" s="77"/>
      <x:c r="D64" s="77"/>
      <x:c r="E64" s="77"/>
      <x:c r="F64" s="77"/>
      <x:c r="G64" s="78"/>
      <x:c r="H64" s="79"/>
    </x:row>
    <x:row r="65">
      <x:c r="A65" s="88" t="str">
        <x:v>Fiscal year ended</x:v>
      </x:c>
      <x:c r="B65" s="92" t="n">
        <x:v>44561.5</x:v>
      </x:c>
      <x:c r="C65" s="92" t="n">
        <x:v>44926.5</x:v>
      </x:c>
      <x:c r="D65" s="92" t="n">
        <x:v>45291.5</x:v>
      </x:c>
      <x:c r="E65" s="92" t="n">
        <x:v>45657.5</x:v>
      </x:c>
      <x:c r="F65" s="92" t="n">
        <x:v>46022.5</x:v>
      </x:c>
      <x:c r="G65" s="90" t="str">
        <x:v>Source</x:v>
      </x:c>
      <x:c r="H65" s="91" t="str">
        <x:v>Notes</x:v>
      </x:c>
    </x:row>
    <x:row r="66">
      <x:c r="A66" s="52" t="str">
        <x:v>Days sales outstanding</x:v>
      </x:c>
      <x:c r="B66" s="103" t="n">
        <x:f>B49/B7*365</x:f>
        <x:v>45.875143911182946</x:v>
      </x:c>
      <x:c r="C66" s="103" t="n">
        <x:f>C49/C7*365</x:f>
        <x:v>45.50010933415499</x:v>
      </x:c>
      <x:c r="D66" s="103" t="n">
        <x:f>D49/D7*365</x:f>
        <x:v>49.752264649028646</x:v>
      </x:c>
      <x:c r="E66" s="103" t="n">
        <x:f>E49/E7*365</x:f>
        <x:v>57.217251767330225</x:v>
      </x:c>
      <x:c r="F66" s="103" t="n">
        <x:f>F49/F7*365</x:f>
        <x:v>53.854035614903665</x:v>
      </x:c>
      <x:c r="G66" s="54"/>
      <x:c r="H66" s="56"/>
    </x:row>
    <x:row r="67">
      <x:c r="A67" s="52" t="str">
        <x:v>Days inventory outstanding</x:v>
      </x:c>
      <x:c r="B67" s="103" t="n">
        <x:f>B50/B9*365</x:f>
        <x:v>148.8876586444309</x:v>
      </x:c>
      <x:c r="C67" s="103" t="n">
        <x:f>C50/C9*365</x:f>
        <x:v>157.3102028608125</x:v>
      </x:c>
      <x:c r="D67" s="103" t="n">
        <x:f>D50/D9*365</x:f>
        <x:v>250.6666144744526</x:v>
      </x:c>
      <x:c r="E67" s="103" t="n">
        <x:f>E50/E9*365</x:f>
        <x:v>199.14503967498032</x:v>
      </x:c>
      <x:c r="F67" s="103" t="n">
        <x:f>F50/F9*365</x:f>
        <x:v>152.99296887824275</x:v>
      </x:c>
      <x:c r="G67" s="54"/>
      <x:c r="H67" s="56"/>
    </x:row>
    <x:row r="68">
      <x:c r="A68" s="52" t="str">
        <x:v>Days payable outstanding</x:v>
      </x:c>
      <x:c r="B68" s="103" t="n">
        <x:f>B52/B9*365</x:f>
        <x:v>57.98880878274324</x:v>
      </x:c>
      <x:c r="C68" s="103" t="n">
        <x:f>C52/C9*365</x:f>
        <x:v>34.81040519379982</x:v>
      </x:c>
      <x:c r="D68" s="103" t="n">
        <x:f>D52/D9*365</x:f>
        <x:v>33.13800749875162</x:v>
      </x:c>
      <x:c r="E68" s="103" t="n">
        <x:f>E52/E9*365</x:f>
        <x:v>48.09760980323565</x:v>
      </x:c>
      <x:c r="F68" s="103" t="n">
        <x:f>F52/F9*365</x:f>
        <x:v>55.70209383340528</x:v>
      </x:c>
      <x:c r="G68" s="54"/>
      <x:c r="H68" s="56"/>
    </x:row>
    <x:row r="69">
      <x:c r="A69" s="52" t="str">
        <x:v>Revenue CAGR since FY2021</x:v>
      </x:c>
      <x:c r="B69" s="94"/>
      <x:c r="C69" s="94" t="n">
        <x:f>(C7/$B$7)^(1/1)-1</x:f>
        <x:v>-0.029898813805445457</x:v>
      </x:c>
      <x:c r="D69" s="94" t="n">
        <x:f>(D7/$B$7)^(1/2)-1</x:f>
        <x:v>-0.10134148167592494</x:v>
      </x:c>
      <x:c r="E69" s="94" t="n">
        <x:f>(E7/$B$7)^(1/3)-1</x:f>
        <x:v>-0.04106240481178636</x:v>
      </x:c>
      <x:c r="F69" s="94" t="n">
        <x:f>(F7/$B$7)^(1/4)-1</x:f>
        <x:v>-0.01046569911229367</x:v>
      </x:c>
      <x:c r="G69" s="54"/>
      <x:c r="H69" s="56"/>
    </x:row>
    <x:row r="70">
      <x:c r="A70" s="52" t="str">
        <x:v>Net cash and investments</x:v>
      </x:c>
      <x:c r="B70" s="93" t="n">
        <x:f>B58</x:f>
        <x:v>907.364</x:v>
      </x:c>
      <x:c r="C70" s="93" t="n">
        <x:f>C58</x:f>
        <x:v>854.25</x:v>
      </x:c>
      <x:c r="D70" s="93" t="n">
        <x:f>D58</x:f>
        <x:v>576.277</x:v>
      </x:c>
      <x:c r="E70" s="93" t="n">
        <x:f>E58</x:f>
        <x:v>586.948</x:v>
      </x:c>
      <x:c r="F70" s="93" t="n">
        <x:f>F58</x:f>
        <x:v>642.3009999999999</x:v>
      </x:c>
      <x:c r="G70" s="54"/>
      <x:c r="H70" s="56"/>
    </x:row>
    <x:row r="71">
      <x:c r="A71" s="52"/>
      <x:c r="B71" s="53"/>
      <x:c r="C71" s="53"/>
      <x:c r="D71" s="53"/>
      <x:c r="E71" s="53"/>
      <x:c r="F71" s="53"/>
      <x:c r="G71" s="54"/>
      <x:c r="H71" s="56"/>
    </x:row>
    <x:row r="72" ht="19" customHeight="1">
      <x:c r="A72" s="76" t="str">
        <x:v>ANALYST TAKEAWAYS</x:v>
      </x:c>
      <x:c r="B72" s="77"/>
      <x:c r="C72" s="77"/>
      <x:c r="D72" s="77"/>
      <x:c r="E72" s="77"/>
      <x:c r="F72" s="77"/>
      <x:c r="G72" s="78"/>
      <x:c r="H72" s="79"/>
    </x:row>
    <x:row r="73" ht="28" customHeight="1">
      <x:c r="A73" s="107" t="str">
        <x:v>• Revenue peaked above $1.0 billion in FY2021, declined materially in FY2023, and recovered to a new high of $994 million in FY2025.</x:v>
      </x:c>
      <x:c r="B73" s="108"/>
      <x:c r="C73" s="108"/>
      <x:c r="D73" s="108"/>
      <x:c r="E73" s="108"/>
      <x:c r="F73" s="108"/>
      <x:c r="G73" s="109"/>
      <x:c r="H73" s="107"/>
    </x:row>
    <x:row r="74" ht="28" customHeight="1">
      <x:c r="A74" s="107" t="str">
        <x:v>• Operating margin compressed from approximately 30% in FY2021 to approximately 12% in FY2024 before recovering in FY2025, demonstrating both cyclicality and operating leverage.</x:v>
      </x:c>
      <x:c r="B74" s="108"/>
      <x:c r="C74" s="108"/>
      <x:c r="D74" s="108"/>
      <x:c r="E74" s="108"/>
      <x:c r="F74" s="108"/>
      <x:c r="G74" s="109"/>
      <x:c r="H74" s="107"/>
    </x:row>
    <x:row r="75" ht="28" customHeight="1">
      <x:c r="A75" s="107" t="str">
        <x:v>• FY2025 free cash flow improved meaningfully as revenue and margins recovered, while capital intensity remained low.</x:v>
      </x:c>
      <x:c r="B75" s="108"/>
      <x:c r="C75" s="108"/>
      <x:c r="D75" s="108"/>
      <x:c r="E75" s="108"/>
      <x:c r="F75" s="108"/>
      <x:c r="G75" s="109"/>
      <x:c r="H75" s="107"/>
    </x:row>
    <x:row r="76" ht="28" customHeight="1">
      <x:c r="A76" s="107" t="str">
        <x:v>• Cognex ended FY2025 with substantial cash and investments and no funded debt, increasing standalone value and reducing the buyer's effective purchase cost.</x:v>
      </x:c>
      <x:c r="B76" s="108"/>
      <x:c r="C76" s="108"/>
      <x:c r="D76" s="108"/>
      <x:c r="E76" s="108"/>
      <x:c r="F76" s="108"/>
      <x:c r="G76" s="109"/>
      <x:c r="H76" s="107"/>
    </x:row>
  </x:sheetData>
  <x:mergeCells>
    <x:mergeCell ref="A1:H1"/>
    <x:mergeCell ref="A2:H2"/>
    <x:mergeCell ref="B3:F3"/>
    <x:mergeCell ref="A5:H5"/>
    <x:mergeCell ref="A32:H32"/>
    <x:mergeCell ref="A45:H45"/>
    <x:mergeCell ref="A64:H64"/>
    <x:mergeCell ref="A72:H72"/>
    <x:mergeCell ref="A73:H73"/>
    <x:mergeCell ref="A74:H74"/>
    <x:mergeCell ref="A75:H75"/>
    <x:mergeCell ref="A76:H76"/>
  </x:mergeCells>
  <x:pageMargins left="0.7" right="0.7" top="0.75" bottom="0.75" header="0.3" footer="0.3"/>
  <x:legacyDrawing xmlns:r="http://schemas.openxmlformats.org/officeDocument/2006/relationships" r:id="R438496ca798f4fce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8" hidden="0" customWidth="1"/>
  </x:cols>
  <x:sheetData>
    <x:row r="1" ht="25" customHeight="1">
      <x:c r="A1" s="238" t="str">
        <x:v>CGNX Operating Model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Cognex five-year driver-based forecast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scenario-driven FY2026E to FY2030E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ACTIVE FORECAST DRIVERS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144" t="str">
        <x:v>Driver</x:v>
      </x:c>
      <x:c r="B6" s="144" t="str">
        <x:v>FY2026E</x:v>
      </x:c>
      <x:c r="C6" s="144" t="str">
        <x:v>FY2027E</x:v>
      </x:c>
      <x:c r="D6" s="144" t="str">
        <x:v>FY2028E</x:v>
      </x:c>
      <x:c r="E6" s="144" t="str">
        <x:v>FY2029E</x:v>
      </x:c>
      <x:c r="F6" s="144" t="str">
        <x:v>FY2030E</x:v>
      </x:c>
      <x:c r="G6" s="144" t="str">
        <x:v>Selected case / methodology</x:v>
      </x:c>
    </x:row>
    <x:row r="7" ht="16" customHeight="1">
      <x:c r="A7" s="184" t="str">
        <x:v>Revenue growth</x:v>
      </x:c>
      <x:c r="B7" s="199" t="n">
        <x:f>IF('Control'!$B$5="Upside",'Control'!C23,IF('Control'!$B$5="Downside",'Control'!C24,'Control'!C22))</x:f>
        <x:v>0.14646722159702885</x:v>
      </x:c>
      <x:c r="C7" s="199" t="n">
        <x:f>IF('Control'!$B$5="Upside",'Control'!D23,IF('Control'!$B$5="Downside",'Control'!D24,'Control'!D22))</x:f>
        <x:v>0.09</x:v>
      </x:c>
      <x:c r="D7" s="199" t="n">
        <x:f>IF('Control'!$B$5="Upside",'Control'!E23,IF('Control'!$B$5="Downside",'Control'!E24,'Control'!E22))</x:f>
        <x:v>0.08</x:v>
      </x:c>
      <x:c r="E7" s="199" t="n">
        <x:f>IF('Control'!$B$5="Upside",'Control'!F23,IF('Control'!$B$5="Downside",'Control'!F24,'Control'!F22))</x:f>
        <x:v>0.07</x:v>
      </x:c>
      <x:c r="F7" s="199" t="n">
        <x:f>IF('Control'!$B$5="Upside",'Control'!G23,IF('Control'!$B$5="Downside",'Control'!G24,'Control'!G22))</x:f>
        <x:v>0.065</x:v>
      </x:c>
      <x:c r="G7" s="202" t="str">
        <x:f>'Control'!$B$5</x:f>
        <x:v>Base</x:v>
      </x:c>
    </x:row>
    <x:row r="8" ht="16" customHeight="1">
      <x:c r="A8" s="187" t="str">
        <x:v>Gross margin</x:v>
      </x:c>
      <x:c r="B8" s="200" t="n">
        <x:f>IF('Control'!$B$5="Upside",'Control'!C26,IF('Control'!$B$5="Downside",'Control'!C27,'Control'!C25))</x:f>
        <x:v>0.705</x:v>
      </x:c>
      <x:c r="C8" s="200" t="n">
        <x:f>IF('Control'!$B$5="Upside",'Control'!D26,IF('Control'!$B$5="Downside",'Control'!D27,'Control'!D25))</x:f>
        <x:v>0.707</x:v>
      </x:c>
      <x:c r="D8" s="200" t="n">
        <x:f>IF('Control'!$B$5="Upside",'Control'!E26,IF('Control'!$B$5="Downside",'Control'!E27,'Control'!E25))</x:f>
        <x:v>0.71</x:v>
      </x:c>
      <x:c r="E8" s="200" t="n">
        <x:f>IF('Control'!$B$5="Upside",'Control'!F26,IF('Control'!$B$5="Downside",'Control'!F27,'Control'!F25))</x:f>
        <x:v>0.712</x:v>
      </x:c>
      <x:c r="F8" s="200" t="n">
        <x:f>IF('Control'!$B$5="Upside",'Control'!G26,IF('Control'!$B$5="Downside",'Control'!G27,'Control'!G25))</x:f>
        <x:v>0.713</x:v>
      </x:c>
      <x:c r="G8" s="203" t="str">
        <x:f>'Control'!$B$5</x:f>
        <x:v>Base</x:v>
      </x:c>
    </x:row>
    <x:row r="9" ht="16" customHeight="1">
      <x:c r="A9" s="187" t="str">
        <x:v>R&amp;D % revenue</x:v>
      </x:c>
      <x:c r="B9" s="200" t="n">
        <x:f>IF('Control'!$B$5="Upside",'Control'!C29,IF('Control'!$B$5="Downside",'Control'!C30,'Control'!C28))</x:f>
        <x:v>0.135</x:v>
      </x:c>
      <x:c r="C9" s="200" t="n">
        <x:f>IF('Control'!$B$5="Upside",'Control'!D29,IF('Control'!$B$5="Downside",'Control'!D30,'Control'!D28))</x:f>
        <x:v>0.134</x:v>
      </x:c>
      <x:c r="D9" s="200" t="n">
        <x:f>IF('Control'!$B$5="Upside",'Control'!E29,IF('Control'!$B$5="Downside",'Control'!E30,'Control'!E28))</x:f>
        <x:v>0.133</x:v>
      </x:c>
      <x:c r="E9" s="200" t="n">
        <x:f>IF('Control'!$B$5="Upside",'Control'!F29,IF('Control'!$B$5="Downside",'Control'!F30,'Control'!F28))</x:f>
        <x:v>0.132</x:v>
      </x:c>
      <x:c r="F9" s="200" t="n">
        <x:f>IF('Control'!$B$5="Upside",'Control'!G29,IF('Control'!$B$5="Downside",'Control'!G30,'Control'!G28))</x:f>
        <x:v>0.132</x:v>
      </x:c>
      <x:c r="G9" s="203" t="str">
        <x:f>'Control'!$B$5</x:f>
        <x:v>Base</x:v>
      </x:c>
    </x:row>
    <x:row r="10" ht="16" customHeight="1">
      <x:c r="A10" s="187" t="str">
        <x:v>SG&amp;A % revenue</x:v>
      </x:c>
      <x:c r="B10" s="200" t="n">
        <x:f>IF('Control'!$B$5="Upside",'Control'!C32,IF('Control'!$B$5="Downside",'Control'!C33,'Control'!C31))</x:f>
        <x:v>0.31</x:v>
      </x:c>
      <x:c r="C10" s="200" t="n">
        <x:f>IF('Control'!$B$5="Upside",'Control'!D32,IF('Control'!$B$5="Downside",'Control'!D33,'Control'!D31))</x:f>
        <x:v>0.305</x:v>
      </x:c>
      <x:c r="D10" s="200" t="n">
        <x:f>IF('Control'!$B$5="Upside",'Control'!E32,IF('Control'!$B$5="Downside",'Control'!E33,'Control'!E31))</x:f>
        <x:v>0.3</x:v>
      </x:c>
      <x:c r="E10" s="200" t="n">
        <x:f>IF('Control'!$B$5="Upside",'Control'!F32,IF('Control'!$B$5="Downside",'Control'!F33,'Control'!F31))</x:f>
        <x:v>0.295</x:v>
      </x:c>
      <x:c r="F10" s="200" t="n">
        <x:f>IF('Control'!$B$5="Upside",'Control'!G32,IF('Control'!$B$5="Downside",'Control'!G33,'Control'!G31))</x:f>
        <x:v>0.292</x:v>
      </x:c>
      <x:c r="G10" s="203" t="str">
        <x:f>'Control'!$B$5</x:f>
        <x:v>Base</x:v>
      </x:c>
    </x:row>
    <x:row r="11" ht="16" customHeight="1">
      <x:c r="A11" s="187" t="str">
        <x:v>D&amp;A % revenue</x:v>
      </x:c>
      <x:c r="B11" s="200" t="n">
        <x:f>IF('Control'!$B$5="Upside",'Control'!C35,IF('Control'!$B$5="Downside",'Control'!C36,'Control'!C34))</x:f>
        <x:v>0.03</x:v>
      </x:c>
      <x:c r="C11" s="200" t="n">
        <x:f>IF('Control'!$B$5="Upside",'Control'!D35,IF('Control'!$B$5="Downside",'Control'!D36,'Control'!D34))</x:f>
        <x:v>0.029</x:v>
      </x:c>
      <x:c r="D11" s="200" t="n">
        <x:f>IF('Control'!$B$5="Upside",'Control'!E35,IF('Control'!$B$5="Downside",'Control'!E36,'Control'!E34))</x:f>
        <x:v>0.028</x:v>
      </x:c>
      <x:c r="E11" s="200" t="n">
        <x:f>IF('Control'!$B$5="Upside",'Control'!F35,IF('Control'!$B$5="Downside",'Control'!F36,'Control'!F34))</x:f>
        <x:v>0.027</x:v>
      </x:c>
      <x:c r="F11" s="200" t="n">
        <x:f>IF('Control'!$B$5="Upside",'Control'!G35,IF('Control'!$B$5="Downside",'Control'!G36,'Control'!G34))</x:f>
        <x:v>0.026</x:v>
      </x:c>
      <x:c r="G11" s="203" t="str">
        <x:f>'Control'!$B$5</x:f>
        <x:v>Base</x:v>
      </x:c>
      <x:c r="H11"/>
    </x:row>
    <x:row r="12" ht="16" customHeight="1">
      <x:c r="A12" s="187" t="str">
        <x:v>Tax rate</x:v>
      </x:c>
      <x:c r="B12" s="200" t="n">
        <x:f>IF('Control'!$B$5="Upside",'Control'!C38,IF('Control'!$B$5="Downside",'Control'!C39,'Control'!C37))</x:f>
        <x:v>0.2</x:v>
      </x:c>
      <x:c r="C12" s="200" t="n">
        <x:f>IF('Control'!$B$5="Upside",'Control'!D38,IF('Control'!$B$5="Downside",'Control'!D39,'Control'!D37))</x:f>
        <x:v>0.2</x:v>
      </x:c>
      <x:c r="D12" s="200" t="n">
        <x:f>IF('Control'!$B$5="Upside",'Control'!E38,IF('Control'!$B$5="Downside",'Control'!E39,'Control'!E37))</x:f>
        <x:v>0.2</x:v>
      </x:c>
      <x:c r="E12" s="200" t="n">
        <x:f>IF('Control'!$B$5="Upside",'Control'!F38,IF('Control'!$B$5="Downside",'Control'!F39,'Control'!F37))</x:f>
        <x:v>0.2</x:v>
      </x:c>
      <x:c r="F12" s="200" t="n">
        <x:f>IF('Control'!$B$5="Upside",'Control'!G38,IF('Control'!$B$5="Downside",'Control'!G39,'Control'!G37))</x:f>
        <x:v>0.2</x:v>
      </x:c>
      <x:c r="G12" s="203" t="str">
        <x:f>'Control'!$B$5</x:f>
        <x:v>Base</x:v>
      </x:c>
    </x:row>
    <x:row r="13" ht="16" customHeight="1">
      <x:c r="A13" s="187" t="str">
        <x:v>Net interest &amp; other % revenue</x:v>
      </x:c>
      <x:c r="B13" s="200" t="n">
        <x:f>IF('Control'!$B$5="Upside",'Control'!C41,IF('Control'!$B$5="Downside",'Control'!C42,'Control'!C40))</x:f>
        <x:v>0.015</x:v>
      </x:c>
      <x:c r="C13" s="200" t="n">
        <x:f>IF('Control'!$B$5="Upside",'Control'!D41,IF('Control'!$B$5="Downside",'Control'!D42,'Control'!D40))</x:f>
        <x:v>0.013</x:v>
      </x:c>
      <x:c r="D13" s="200" t="n">
        <x:f>IF('Control'!$B$5="Upside",'Control'!E41,IF('Control'!$B$5="Downside",'Control'!E42,'Control'!E40))</x:f>
        <x:v>0.011</x:v>
      </x:c>
      <x:c r="E13" s="200" t="n">
        <x:f>IF('Control'!$B$5="Upside",'Control'!F41,IF('Control'!$B$5="Downside",'Control'!F42,'Control'!F40))</x:f>
        <x:v>0.01</x:v>
      </x:c>
      <x:c r="F13" s="200" t="n">
        <x:f>IF('Control'!$B$5="Upside",'Control'!G41,IF('Control'!$B$5="Downside",'Control'!G42,'Control'!G40))</x:f>
        <x:v>0.009</x:v>
      </x:c>
      <x:c r="G13" s="203" t="str">
        <x:f>'Control'!$B$5</x:f>
        <x:v>Base</x:v>
      </x:c>
    </x:row>
    <x:row r="14" ht="16" customHeight="1">
      <x:c r="A14" s="187" t="str">
        <x:v>Capex % revenue</x:v>
      </x:c>
      <x:c r="B14" s="200" t="n">
        <x:f>IF('Control'!$B$5="Upside",'Control'!C44,IF('Control'!$B$5="Downside",'Control'!C45,'Control'!C43))</x:f>
        <x:v>0.015</x:v>
      </x:c>
      <x:c r="C14" s="200" t="n">
        <x:f>IF('Control'!$B$5="Upside",'Control'!D44,IF('Control'!$B$5="Downside",'Control'!D45,'Control'!D43))</x:f>
        <x:v>0.016</x:v>
      </x:c>
      <x:c r="D14" s="200" t="n">
        <x:f>IF('Control'!$B$5="Upside",'Control'!E44,IF('Control'!$B$5="Downside",'Control'!E45,'Control'!E43))</x:f>
        <x:v>0.017</x:v>
      </x:c>
      <x:c r="E14" s="200" t="n">
        <x:f>IF('Control'!$B$5="Upside",'Control'!F44,IF('Control'!$B$5="Downside",'Control'!F45,'Control'!F43))</x:f>
        <x:v>0.018</x:v>
      </x:c>
      <x:c r="F14" s="200" t="n">
        <x:f>IF('Control'!$B$5="Upside",'Control'!G44,IF('Control'!$B$5="Downside",'Control'!G45,'Control'!G43))</x:f>
        <x:v>0.018</x:v>
      </x:c>
      <x:c r="G14" s="203" t="str">
        <x:f>'Control'!$B$5</x:f>
        <x:v>Base</x:v>
      </x:c>
    </x:row>
    <x:row r="15" ht="16" customHeight="1">
      <x:c r="A15" s="187" t="str">
        <x:v>Operating NWC % revenue</x:v>
      </x:c>
      <x:c r="B15" s="200" t="n">
        <x:f>IF('Control'!$B$5="Upside",'Control'!C47,IF('Control'!$B$5="Downside",'Control'!C48,'Control'!C46))</x:f>
        <x:v>0.23</x:v>
      </x:c>
      <x:c r="C15" s="200" t="n">
        <x:f>IF('Control'!$B$5="Upside",'Control'!D47,IF('Control'!$B$5="Downside",'Control'!D48,'Control'!D46))</x:f>
        <x:v>0.228</x:v>
      </x:c>
      <x:c r="D15" s="200" t="n">
        <x:f>IF('Control'!$B$5="Upside",'Control'!E47,IF('Control'!$B$5="Downside",'Control'!E48,'Control'!E46))</x:f>
        <x:v>0.225</x:v>
      </x:c>
      <x:c r="E15" s="200" t="n">
        <x:f>IF('Control'!$B$5="Upside",'Control'!F47,IF('Control'!$B$5="Downside",'Control'!F48,'Control'!F46))</x:f>
        <x:v>0.223</x:v>
      </x:c>
      <x:c r="F15" s="200" t="n">
        <x:f>IF('Control'!$B$5="Upside",'Control'!G47,IF('Control'!$B$5="Downside",'Control'!G48,'Control'!G46))</x:f>
        <x:v>0.22</x:v>
      </x:c>
      <x:c r="G15" s="203" t="str">
        <x:f>'Control'!$B$5</x:f>
        <x:v>Base</x:v>
      </x:c>
    </x:row>
    <x:row r="16" ht="16" customHeight="1">
      <x:c r="A16" s="190" t="str">
        <x:v>Diluted share change</x:v>
      </x:c>
      <x:c r="B16" s="201" t="n">
        <x:f>IF('Control'!$B$5="Upside",'Control'!C50,IF('Control'!$B$5="Downside",'Control'!C51,'Control'!C49))</x:f>
        <x:v>-0.01</x:v>
      </x:c>
      <x:c r="C16" s="201" t="n">
        <x:f>IF('Control'!$B$5="Upside",'Control'!D50,IF('Control'!$B$5="Downside",'Control'!D51,'Control'!D49))</x:f>
        <x:v>-0.01</x:v>
      </x:c>
      <x:c r="D16" s="201" t="n">
        <x:f>IF('Control'!$B$5="Upside",'Control'!E50,IF('Control'!$B$5="Downside",'Control'!E51,'Control'!E49))</x:f>
        <x:v>-0.01</x:v>
      </x:c>
      <x:c r="E16" s="201" t="n">
        <x:f>IF('Control'!$B$5="Upside",'Control'!F50,IF('Control'!$B$5="Downside",'Control'!F51,'Control'!F49))</x:f>
        <x:v>-0.01</x:v>
      </x:c>
      <x:c r="F16" s="201" t="n">
        <x:f>IF('Control'!$B$5="Upside",'Control'!G50,IF('Control'!$B$5="Downside",'Control'!G51,'Control'!G49))</x:f>
        <x:v>-0.01</x:v>
      </x:c>
      <x:c r="G16" s="204" t="str">
        <x:f>'Control'!$B$5</x:f>
        <x:v>Base</x:v>
      </x:c>
    </x:row>
    <x:row r="17" ht="16" customHeight="1"/>
    <x:row r="18" ht="16" customHeight="1">
      <x:c r="A18" s="139" t="str">
        <x:v>INCOME STATEMENT AND PROFITABILITY</x:v>
      </x:c>
      <x:c r="B18" s="139"/>
      <x:c r="C18" s="139"/>
      <x:c r="D18" s="139"/>
      <x:c r="E18" s="139"/>
      <x:c r="F18" s="139"/>
      <x:c r="G18" s="139"/>
      <x:c r="H18" s="139"/>
      <x:c r="I18" s="139"/>
      <x:c r="J18" s="139"/>
    </x:row>
    <x:row r="19" ht="16" customHeight="1">
      <x:c r="A19" s="223" t="str">
        <x:v>Fiscal year</x:v>
      </x:c>
      <x:c r="B19" s="224" t="str">
        <x:v>FY2023A</x:v>
      </x:c>
      <x:c r="C19" s="224" t="str">
        <x:v>FY2024A</x:v>
      </x:c>
      <x:c r="D19" s="224" t="str">
        <x:v>FY2025A</x:v>
      </x:c>
      <x:c r="E19" s="224" t="str">
        <x:v>FY2026E</x:v>
      </x:c>
      <x:c r="F19" s="224" t="str">
        <x:v>FY2027E</x:v>
      </x:c>
      <x:c r="G19" s="224" t="str">
        <x:v>FY2028E</x:v>
      </x:c>
      <x:c r="H19" s="224" t="str">
        <x:v>FY2029E</x:v>
      </x:c>
      <x:c r="I19" s="224" t="str">
        <x:v>FY2030E</x:v>
      </x:c>
      <x:c r="J19" s="225" t="str">
        <x:v>Source / methodology</x:v>
      </x:c>
    </x:row>
    <x:row r="20" ht="16" customHeight="1">
      <x:c r="A20" s="149" t="str">
        <x:v>Revenue</x:v>
      </x:c>
      <x:c r="B20" s="226" t="n">
        <x:f>'CGNX Historical'!D7</x:f>
        <x:v>837.547</x:v>
      </x:c>
      <x:c r="C20" s="226" t="n">
        <x:f>'CGNX Historical'!E7</x:f>
        <x:v>914.515</x:v>
      </x:c>
      <x:c r="D20" s="226" t="n">
        <x:f>'CGNX Historical'!F7</x:f>
        <x:v>994.359</x:v>
      </x:c>
      <x:c r="E20" s="227" t="n">
        <x:f>D20*(1+E21)</x:f>
        <x:v>1140</x:v>
      </x:c>
      <x:c r="F20" s="227" t="n">
        <x:f>E20*(1+F21)</x:f>
        <x:v>1242.6000000000001</x:v>
      </x:c>
      <x:c r="G20" s="227" t="n">
        <x:f>F20*(1+G21)</x:f>
        <x:v>1342.0080000000003</x:v>
      </x:c>
      <x:c r="H20" s="227" t="n">
        <x:f>G20*(1+H21)</x:f>
        <x:v>1435.9485600000003</x:v>
      </x:c>
      <x:c r="I20" s="227" t="n">
        <x:f>H20*(1+I21)</x:f>
        <x:v>1529.2852164000003</x:v>
      </x:c>
      <x:c r="J20" s="189" t="str">
        <x:v>FY2026 S-022 midpoint; outer years scenario assumptions</x:v>
      </x:c>
    </x:row>
    <x:row r="21" ht="16" customHeight="1">
      <x:c r="A21" s="149" t="str">
        <x:v>% growth</x:v>
      </x:c>
      <x:c r="B21" s="200" t="n">
        <x:f>'CGNX Historical'!D8</x:f>
        <x:v>-0.16752278623184802</x:v>
      </x:c>
      <x:c r="C21" s="200" t="n">
        <x:f>'CGNX Historical'!E8</x:f>
        <x:v>0.09189693235125906</x:v>
      </x:c>
      <x:c r="D21" s="200" t="n">
        <x:f>'CGNX Historical'!F8</x:f>
        <x:v>0.08730747992105115</x:v>
      </x:c>
      <x:c r="E21" s="228" t="n">
        <x:f>B7</x:f>
        <x:v>0.14646722159702885</x:v>
      </x:c>
      <x:c r="F21" s="228" t="n">
        <x:f>C7</x:f>
        <x:v>0.09</x:v>
      </x:c>
      <x:c r="G21" s="228" t="n">
        <x:f>D7</x:f>
        <x:v>0.08</x:v>
      </x:c>
      <x:c r="H21" s="228" t="n">
        <x:f>E7</x:f>
        <x:v>0.07</x:v>
      </x:c>
      <x:c r="I21" s="228" t="n">
        <x:f>F7</x:f>
        <x:v>0.065</x:v>
      </x:c>
      <x:c r="J21" s="189" t="str">
        <x:v>Active selected case</x:v>
      </x:c>
    </x:row>
    <x:row r="22" ht="16" customHeight="1">
      <x:c r="A22" s="149" t="str">
        <x:v>Cost of goods sold</x:v>
      </x:c>
      <x:c r="B22" s="226" t="n">
        <x:f>'CGNX Historical'!D9</x:f>
        <x:v>236.306</x:v>
      </x:c>
      <x:c r="C22" s="226" t="n">
        <x:f>'CGNX Historical'!E9</x:f>
        <x:v>288.721</x:v>
      </x:c>
      <x:c r="D22" s="226" t="n">
        <x:f>'CGNX Historical'!F9</x:f>
        <x:v>328.966</x:v>
      </x:c>
      <x:c r="E22" s="227" t="n">
        <x:f>E20*(1-E24)</x:f>
        <x:v>336.30000000000007</x:v>
      </x:c>
      <x:c r="F22" s="227" t="n">
        <x:f>F20*(1-F24)</x:f>
        <x:v>364.0818000000001</x:v>
      </x:c>
      <x:c r="G22" s="227" t="n">
        <x:f>G20*(1-G24)</x:f>
        <x:v>389.1823200000001</x:v>
      </x:c>
      <x:c r="H22" s="227" t="n">
        <x:f>H20*(1-H24)</x:f>
        <x:v>413.55318528000015</x:v>
      </x:c>
      <x:c r="I22" s="227" t="n">
        <x:f>I20*(1-I24)</x:f>
        <x:v>438.90485710680014</x:v>
      </x:c>
      <x:c r="J22" s="189" t="str">
        <x:v>Revenue less gross profit</x:v>
      </x:c>
    </x:row>
    <x:row r="23" ht="16" customHeight="1">
      <x:c r="A23" s="149" t="str">
        <x:v>Gross profit</x:v>
      </x:c>
      <x:c r="B23" s="226" t="n">
        <x:f>'CGNX Historical'!D10</x:f>
        <x:v>601.241</x:v>
      </x:c>
      <x:c r="C23" s="226" t="n">
        <x:f>'CGNX Historical'!E10</x:f>
        <x:v>625.794</x:v>
      </x:c>
      <x:c r="D23" s="226" t="n">
        <x:f>'CGNX Historical'!F10</x:f>
        <x:v>665.393</x:v>
      </x:c>
      <x:c r="E23" s="227" t="n">
        <x:f>E20-E22</x:f>
        <x:v>803.6999999999999</x:v>
      </x:c>
      <x:c r="F23" s="227" t="n">
        <x:f>F20-F22</x:f>
        <x:v>878.5182</x:v>
      </x:c>
      <x:c r="G23" s="227" t="n">
        <x:f>G20-G22</x:f>
        <x:v>952.8256800000001</x:v>
      </x:c>
      <x:c r="H23" s="227" t="n">
        <x:f>H20-H22</x:f>
        <x:v>1022.3953747200001</x:v>
      </x:c>
      <x:c r="I23" s="227" t="n">
        <x:f>I20-I22</x:f>
        <x:v>1090.3803592932002</x:v>
      </x:c>
      <x:c r="J23" s="189" t="str">
        <x:v>Revenue less COGS</x:v>
      </x:c>
    </x:row>
    <x:row r="24" ht="16" customHeight="1">
      <x:c r="A24" s="149" t="str">
        <x:v>Gross margin</x:v>
      </x:c>
      <x:c r="B24" s="200" t="n">
        <x:f>'CGNX Historical'!D13</x:f>
        <x:v>0.7178594156507038</x:v>
      </x:c>
      <x:c r="C24" s="200" t="n">
        <x:f>'CGNX Historical'!E13</x:f>
        <x:v>0.6842905802529209</x:v>
      </x:c>
      <x:c r="D24" s="200" t="n">
        <x:f>'CGNX Historical'!F13</x:f>
        <x:v>0.6691677754211507</x:v>
      </x:c>
      <x:c r="E24" s="228" t="n">
        <x:f>B8</x:f>
        <x:v>0.705</x:v>
      </x:c>
      <x:c r="F24" s="228" t="n">
        <x:f>C8</x:f>
        <x:v>0.707</x:v>
      </x:c>
      <x:c r="G24" s="228" t="n">
        <x:f>D8</x:f>
        <x:v>0.71</x:v>
      </x:c>
      <x:c r="H24" s="228" t="n">
        <x:f>E8</x:f>
        <x:v>0.712</x:v>
      </x:c>
      <x:c r="I24" s="228" t="n">
        <x:f>F8</x:f>
        <x:v>0.713</x:v>
      </x:c>
      <x:c r="J24" s="189" t="str">
        <x:v>Active selected case</x:v>
      </x:c>
    </x:row>
    <x:row r="25" ht="16" customHeight="1">
      <x:c r="A25" s="149" t="str">
        <x:v>R&amp;D expense</x:v>
      </x:c>
      <x:c r="B25" s="226" t="n">
        <x:f>'CGNX Historical'!D15</x:f>
        <x:v>139.4</x:v>
      </x:c>
      <x:c r="C25" s="226" t="n">
        <x:f>'CGNX Historical'!E15</x:f>
        <x:v>139.815</x:v>
      </x:c>
      <x:c r="D25" s="226" t="n">
        <x:f>'CGNX Historical'!F15</x:f>
        <x:v>138.97</x:v>
      </x:c>
      <x:c r="E25" s="227" t="n">
        <x:f>E20*E26</x:f>
        <x:v>153.9</x:v>
      </x:c>
      <x:c r="F25" s="227" t="n">
        <x:f>F20*F26</x:f>
        <x:v>166.50840000000002</x:v>
      </x:c>
      <x:c r="G25" s="227" t="n">
        <x:f>G20*G26</x:f>
        <x:v>178.48706400000003</x:v>
      </x:c>
      <x:c r="H25" s="227" t="n">
        <x:f>H20*H26</x:f>
        <x:v>189.54520992000005</x:v>
      </x:c>
      <x:c r="I25" s="227" t="n">
        <x:f>I20*I26</x:f>
        <x:v>201.86564856480004</x:v>
      </x:c>
      <x:c r="J25" s="189" t="str">
        <x:v>Revenue × R&amp;D %</x:v>
      </x:c>
    </x:row>
    <x:row r="26" ht="16" customHeight="1">
      <x:c r="A26" s="149" t="str">
        <x:v>% revenue</x:v>
      </x:c>
      <x:c r="B26" s="200" t="n">
        <x:f>'CGNX Historical'!D16</x:f>
        <x:v>0.1664384207692225</x:v>
      </x:c>
      <x:c r="C26" s="200" t="n">
        <x:f>'CGNX Historical'!E16</x:f>
        <x:v>0.15288431573019579</x:v>
      </x:c>
      <x:c r="D26" s="200" t="n">
        <x:f>'CGNX Historical'!F16</x:f>
        <x:v>0.1397583770046834</x:v>
      </x:c>
      <x:c r="E26" s="228" t="n">
        <x:f>B9</x:f>
        <x:v>0.135</x:v>
      </x:c>
      <x:c r="F26" s="228" t="n">
        <x:f>C9</x:f>
        <x:v>0.134</x:v>
      </x:c>
      <x:c r="G26" s="228" t="n">
        <x:f>D9</x:f>
        <x:v>0.133</x:v>
      </x:c>
      <x:c r="H26" s="228" t="n">
        <x:f>E9</x:f>
        <x:v>0.132</x:v>
      </x:c>
      <x:c r="I26" s="228" t="n">
        <x:f>F9</x:f>
        <x:v>0.132</x:v>
      </x:c>
      <x:c r="J26" s="189" t="str">
        <x:v>Active selected case</x:v>
      </x:c>
    </x:row>
    <x:row r="27" ht="16" customHeight="1">
      <x:c r="A27" s="149" t="str">
        <x:v>SG&amp;A expense</x:v>
      </x:c>
      <x:c r="B27" s="226" t="n">
        <x:f>'CGNX Historical'!D17</x:f>
        <x:v>339.139</x:v>
      </x:c>
      <x:c r="C27" s="226" t="n">
        <x:f>'CGNX Historical'!E17</x:f>
        <x:v>370.914</x:v>
      </x:c>
      <x:c r="D27" s="226" t="n">
        <x:f>'CGNX Historical'!F17</x:f>
        <x:v>363.857</x:v>
      </x:c>
      <x:c r="E27" s="227" t="n">
        <x:f>E20*E28</x:f>
        <x:v>353.4</x:v>
      </x:c>
      <x:c r="F27" s="227" t="n">
        <x:f>F20*F28</x:f>
        <x:v>378.99300000000005</x:v>
      </x:c>
      <x:c r="G27" s="227" t="n">
        <x:f>G20*G28</x:f>
        <x:v>402.60240000000005</x:v>
      </x:c>
      <x:c r="H27" s="227" t="n">
        <x:f>H20*H28</x:f>
        <x:v>423.60482520000005</x:v>
      </x:c>
      <x:c r="I27" s="227" t="n">
        <x:f>I20*I28</x:f>
        <x:v>446.5512831888001</x:v>
      </x:c>
      <x:c r="J27" s="189" t="str">
        <x:v>Revenue × SG&amp;A %</x:v>
      </x:c>
    </x:row>
    <x:row r="28" ht="16" customHeight="1">
      <x:c r="A28" s="149" t="str">
        <x:v>% revenue</x:v>
      </x:c>
      <x:c r="B28" s="200" t="n">
        <x:f>'CGNX Historical'!D18</x:f>
        <x:v>0.4049193657191775</x:v>
      </x:c>
      <x:c r="C28" s="200" t="n">
        <x:f>'CGNX Historical'!E18</x:f>
        <x:v>0.4055854742677813</x:v>
      </x:c>
      <x:c r="D28" s="200" t="n">
        <x:f>'CGNX Historical'!F18</x:f>
        <x:v>0.3659211612707282</x:v>
      </x:c>
      <x:c r="E28" s="228" t="n">
        <x:f>B10</x:f>
        <x:v>0.31</x:v>
      </x:c>
      <x:c r="F28" s="228" t="n">
        <x:f>C10</x:f>
        <x:v>0.305</x:v>
      </x:c>
      <x:c r="G28" s="228" t="n">
        <x:f>D10</x:f>
        <x:v>0.3</x:v>
      </x:c>
      <x:c r="H28" s="228" t="n">
        <x:f>E10</x:f>
        <x:v>0.295</x:v>
      </x:c>
      <x:c r="I28" s="228" t="n">
        <x:f>F10</x:f>
        <x:v>0.292</x:v>
      </x:c>
      <x:c r="J28" s="189" t="str">
        <x:v>Active selected case</x:v>
      </x:c>
    </x:row>
    <x:row r="29" ht="16" customHeight="1">
      <x:c r="A29" s="240" t="str">
        <x:v>Operating income</x:v>
      </x:c>
      <x:c r="B29" s="241" t="n">
        <x:f>'CGNX Historical'!D19</x:f>
        <x:v>130.702</x:v>
      </x:c>
      <x:c r="C29" s="241" t="n">
        <x:f>'CGNX Historical'!E19</x:f>
        <x:v>115.065</x:v>
      </x:c>
      <x:c r="D29" s="241" t="n">
        <x:f>'CGNX Historical'!F19</x:f>
        <x:v>162.566</x:v>
      </x:c>
      <x:c r="E29" s="241" t="n">
        <x:f>E23-E25-E27</x:f>
        <x:v>296.4</x:v>
      </x:c>
      <x:c r="F29" s="241" t="n">
        <x:f>F23-F25-F27</x:f>
        <x:v>333.0167999999999</x:v>
      </x:c>
      <x:c r="G29" s="241" t="n">
        <x:f>G23-G25-G27</x:f>
        <x:v>371.73621600000007</x:v>
      </x:c>
      <x:c r="H29" s="241" t="n">
        <x:f>H23-H25-H27</x:f>
        <x:v>409.24533959999997</x:v>
      </x:c>
      <x:c r="I29" s="241" t="n">
        <x:f>I23-I25-I27</x:f>
        <x:v>441.96342753960005</x:v>
      </x:c>
      <x:c r="J29" s="189" t="str">
        <x:v>Gross profit less R&amp;D and SG&amp;A</x:v>
      </x:c>
    </x:row>
    <x:row r="30" ht="16" customHeight="1">
      <x:c r="A30" s="240" t="str">
        <x:v>Operating margin</x:v>
      </x:c>
      <x:c r="B30" s="242" t="n">
        <x:f>'CGNX Historical'!D20</x:f>
        <x:v>0.1560533319324169</x:v>
      </x:c>
      <x:c r="C30" s="242" t="n">
        <x:f>'CGNX Historical'!E20</x:f>
        <x:v>0.1258207902549439</x:v>
      </x:c>
      <x:c r="D30" s="242" t="n">
        <x:f>'CGNX Historical'!F20</x:f>
        <x:v>0.16348823714573912</x:v>
      </x:c>
      <x:c r="E30" s="242" t="n">
        <x:f>E29/E20</x:f>
        <x:v>0.25999999999999995</x:v>
      </x:c>
      <x:c r="F30" s="242" t="n">
        <x:f>F29/F20</x:f>
        <x:v>0.26799999999999985</x:v>
      </x:c>
      <x:c r="G30" s="242" t="n">
        <x:f>G29/G20</x:f>
        <x:v>0.277</x:v>
      </x:c>
      <x:c r="H30" s="242" t="n">
        <x:f>H29/H20</x:f>
        <x:v>0.2849999999999999</x:v>
      </x:c>
      <x:c r="I30" s="242" t="n">
        <x:f>I29/I20</x:f>
        <x:v>0.289</x:v>
      </x:c>
      <x:c r="J30" s="189" t="str">
        <x:v>Calculated</x:v>
      </x:c>
    </x:row>
    <x:row r="31" ht="16" customHeight="1">
      <x:c r="A31" s="149" t="str">
        <x:v>Depreciation &amp; amortization</x:v>
      </x:c>
      <x:c r="B31" s="226" t="n">
        <x:f>'CGNX Historical'!D37</x:f>
        <x:v>21.88</x:v>
      </x:c>
      <x:c r="C31" s="226" t="n">
        <x:f>'CGNX Historical'!E37</x:f>
        <x:v>32.689</x:v>
      </x:c>
      <x:c r="D31" s="226" t="n">
        <x:f>'CGNX Historical'!F37</x:f>
        <x:v>30.793</x:v>
      </x:c>
      <x:c r="E31" s="227" t="n">
        <x:f>E20*B11</x:f>
        <x:v>34.199999999999996</x:v>
      </x:c>
      <x:c r="F31" s="227" t="n">
        <x:f>F20*C11</x:f>
        <x:v>36.0354</x:v>
      </x:c>
      <x:c r="G31" s="227" t="n">
        <x:f>G20*D11</x:f>
        <x:v>37.57622400000001</x:v>
      </x:c>
      <x:c r="H31" s="227" t="n">
        <x:f>H20*E11</x:f>
        <x:v>38.770611120000005</x:v>
      </x:c>
      <x:c r="I31" s="227" t="n">
        <x:f>I20*F11</x:f>
        <x:v>39.76141562640001</x:v>
      </x:c>
      <x:c r="J31" s="189" t="str">
        <x:v>Revenue × D&amp;A %</x:v>
      </x:c>
    </x:row>
    <x:row r="32" ht="16" customHeight="1">
      <x:c r="A32" s="240" t="str">
        <x:v>EBITDA</x:v>
      </x:c>
      <x:c r="B32" s="241" t="n">
        <x:f>B29+B31</x:f>
        <x:v>152.582</x:v>
      </x:c>
      <x:c r="C32" s="241" t="n">
        <x:f>C29+C31</x:f>
        <x:v>147.754</x:v>
      </x:c>
      <x:c r="D32" s="241" t="n">
        <x:f>D29+D31</x:f>
        <x:v>193.359</x:v>
      </x:c>
      <x:c r="E32" s="241" t="n">
        <x:f>E29+E31</x:f>
        <x:v>330.59999999999997</x:v>
      </x:c>
      <x:c r="F32" s="241" t="n">
        <x:f>F29+F31</x:f>
        <x:v>369.05219999999986</x:v>
      </x:c>
      <x:c r="G32" s="241" t="n">
        <x:f>G29+G31</x:f>
        <x:v>409.3124400000001</x:v>
      </x:c>
      <x:c r="H32" s="241" t="n">
        <x:f>H29+H31</x:f>
        <x:v>448.01595072</x:v>
      </x:c>
      <x:c r="I32" s="241" t="n">
        <x:f>I29+I31</x:f>
        <x:v>481.724843166</x:v>
      </x:c>
      <x:c r="J32" s="189" t="str">
        <x:v>Operating income + D&amp;A</x:v>
      </x:c>
    </x:row>
    <x:row r="33" ht="16" customHeight="1">
      <x:c r="A33" s="240" t="str">
        <x:v>EBITDA margin</x:v>
      </x:c>
      <x:c r="B33" s="242" t="n">
        <x:f>B32/B20</x:f>
        <x:v>0.18217723900867652</x:v>
      </x:c>
      <x:c r="C33" s="242" t="n">
        <x:f>C32/C20</x:f>
        <x:v>0.16156541992203516</x:v>
      </x:c>
      <x:c r="D33" s="242" t="n">
        <x:f>D32/D20</x:f>
        <x:v>0.1944559258778771</x:v>
      </x:c>
      <x:c r="E33" s="242" t="n">
        <x:f>E32/E20</x:f>
        <x:v>0.29</x:v>
      </x:c>
      <x:c r="F33" s="242" t="n">
        <x:f>F32/F20</x:f>
        <x:v>0.2969999999999999</x:v>
      </x:c>
      <x:c r="G33" s="242" t="n">
        <x:f>G32/G20</x:f>
        <x:v>0.305</x:v>
      </x:c>
      <x:c r="H33" s="242" t="n">
        <x:f>H32/H20</x:f>
        <x:v>0.31199999999999994</x:v>
      </x:c>
      <x:c r="I33" s="242" t="n">
        <x:f>I32/I20</x:f>
        <x:v>0.31499999999999995</x:v>
      </x:c>
      <x:c r="J33" s="189" t="str">
        <x:v>Calculated</x:v>
      </x:c>
    </x:row>
    <x:row r="34" ht="16" customHeight="1">
      <x:c r="A34" s="149" t="str">
        <x:v>Net interest and other income</x:v>
      </x:c>
      <x:c r="B34" s="226" t="n">
        <x:f>'CGNX Historical'!D21</x:f>
        <x:v>4.646000000000015</x:v>
      </x:c>
      <x:c r="C34" s="226" t="n">
        <x:f>'CGNX Historical'!E21</x:f>
        <x:v>16.424000000000007</x:v>
      </x:c>
      <x:c r="D34" s="226" t="n">
        <x:f>'CGNX Historical'!F21</x:f>
        <x:v>20.23599999999999</x:v>
      </x:c>
      <x:c r="E34" s="227" t="n">
        <x:f>E20*B13</x:f>
        <x:v>17.099999999999998</x:v>
      </x:c>
      <x:c r="F34" s="227" t="n">
        <x:f>F20*C13</x:f>
        <x:v>16.1538</x:v>
      </x:c>
      <x:c r="G34" s="227" t="n">
        <x:f>G20*D13</x:f>
        <x:v>14.762088000000002</x:v>
      </x:c>
      <x:c r="H34" s="227" t="n">
        <x:f>H20*E13</x:f>
        <x:v>14.359485600000003</x:v>
      </x:c>
      <x:c r="I34" s="227" t="n">
        <x:f>I20*F13</x:f>
        <x:v>13.763566947600001</x:v>
      </x:c>
      <x:c r="J34" s="189" t="str">
        <x:v>Revenue × active assumption</x:v>
      </x:c>
    </x:row>
    <x:row r="35" ht="16" customHeight="1">
      <x:c r="A35" s="149" t="str">
        <x:v>Income before taxes</x:v>
      </x:c>
      <x:c r="B35" s="226" t="n">
        <x:f>'CGNX Historical'!D22</x:f>
        <x:v>135.348</x:v>
      </x:c>
      <x:c r="C35" s="226" t="n">
        <x:f>'CGNX Historical'!E22</x:f>
        <x:v>131.489</x:v>
      </x:c>
      <x:c r="D35" s="226" t="n">
        <x:f>'CGNX Historical'!F22</x:f>
        <x:v>182.802</x:v>
      </x:c>
      <x:c r="E35" s="227" t="n">
        <x:f>E29+E34</x:f>
        <x:v>313.5</x:v>
      </x:c>
      <x:c r="F35" s="227" t="n">
        <x:f>F29+F34</x:f>
        <x:v>349.17059999999987</x:v>
      </x:c>
      <x:c r="G35" s="227" t="n">
        <x:f>G29+G34</x:f>
        <x:v>386.4983040000001</x:v>
      </x:c>
      <x:c r="H35" s="227" t="n">
        <x:f>H29+H34</x:f>
        <x:v>423.6048252</x:v>
      </x:c>
      <x:c r="I35" s="227" t="n">
        <x:f>I29+I34</x:f>
        <x:v>455.72699448720005</x:v>
      </x:c>
      <x:c r="J35" s="189" t="str">
        <x:v>Operating income + net interest/other</x:v>
      </x:c>
    </x:row>
    <x:row r="36" ht="16" customHeight="1">
      <x:c r="A36" s="149" t="str">
        <x:v>Income tax expense</x:v>
      </x:c>
      <x:c r="B36" s="226" t="n">
        <x:f>'CGNX Historical'!D23</x:f>
        <x:v>22.114</x:v>
      </x:c>
      <x:c r="C36" s="226" t="n">
        <x:f>'CGNX Historical'!E23</x:f>
        <x:v>25.318</x:v>
      </x:c>
      <x:c r="D36" s="226" t="n">
        <x:f>'CGNX Historical'!F23</x:f>
        <x:v>68.36</x:v>
      </x:c>
      <x:c r="E36" s="227" t="n">
        <x:f>E35*B12</x:f>
        <x:v>62.7</x:v>
      </x:c>
      <x:c r="F36" s="227" t="n">
        <x:f>F35*C12</x:f>
        <x:v>69.83411999999997</x:v>
      </x:c>
      <x:c r="G36" s="227" t="n">
        <x:f>G35*D12</x:f>
        <x:v>77.29966080000003</x:v>
      </x:c>
      <x:c r="H36" s="227" t="n">
        <x:f>H35*E12</x:f>
        <x:v>84.72096504000001</x:v>
      </x:c>
      <x:c r="I36" s="227" t="n">
        <x:f>I35*F12</x:f>
        <x:v>91.14539889744002</x:v>
      </x:c>
      <x:c r="J36" s="189" t="str">
        <x:v>Pretax income × normalized tax rate</x:v>
      </x:c>
    </x:row>
    <x:row r="37" ht="16" customHeight="1">
      <x:c r="A37" s="149" t="str">
        <x:v>Net income</x:v>
      </x:c>
      <x:c r="B37" s="226" t="n">
        <x:f>'CGNX Historical'!D25</x:f>
        <x:v>113.234</x:v>
      </x:c>
      <x:c r="C37" s="226" t="n">
        <x:f>'CGNX Historical'!E25</x:f>
        <x:v>106.171</x:v>
      </x:c>
      <x:c r="D37" s="226" t="n">
        <x:f>'CGNX Historical'!F25</x:f>
        <x:v>114.442</x:v>
      </x:c>
      <x:c r="E37" s="227" t="n">
        <x:f>E35-E36</x:f>
        <x:v>250.8</x:v>
      </x:c>
      <x:c r="F37" s="227" t="n">
        <x:f>F35-F36</x:f>
        <x:v>279.3364799999999</x:v>
      </x:c>
      <x:c r="G37" s="227" t="n">
        <x:f>G35-G36</x:f>
        <x:v>309.19864320000005</x:v>
      </x:c>
      <x:c r="H37" s="227" t="n">
        <x:f>H35-H36</x:f>
        <x:v>338.88386016</x:v>
      </x:c>
      <x:c r="I37" s="227" t="n">
        <x:f>I35-I36</x:f>
        <x:v>364.58159558976</x:v>
      </x:c>
      <x:c r="J37" s="189" t="str">
        <x:v>Pretax income less tax</x:v>
      </x:c>
    </x:row>
    <x:row r="38" ht="16" customHeight="1">
      <x:c r="A38" s="149" t="str">
        <x:v>Net income margin</x:v>
      </x:c>
      <x:c r="B38" s="200" t="n">
        <x:f>'CGNX Historical'!D26</x:f>
        <x:v>0.13519718893387475</x:v>
      </x:c>
      <x:c r="C38" s="200" t="n">
        <x:f>'CGNX Historical'!E26</x:f>
        <x:v>0.11609541669628165</x:v>
      </x:c>
      <x:c r="D38" s="200" t="n">
        <x:f>'CGNX Historical'!F26</x:f>
        <x:v>0.11509122962632207</x:v>
      </x:c>
      <x:c r="E38" s="228" t="n">
        <x:f>E37/E20</x:f>
        <x:v>0.22</x:v>
      </x:c>
      <x:c r="F38" s="228" t="n">
        <x:f>F37/F20</x:f>
        <x:v>0.2247999999999999</x:v>
      </x:c>
      <x:c r="G38" s="228" t="n">
        <x:f>G37/G20</x:f>
        <x:v>0.2304</x:v>
      </x:c>
      <x:c r="H38" s="228" t="n">
        <x:f>H37/H20</x:f>
        <x:v>0.23599999999999993</x:v>
      </x:c>
      <x:c r="I38" s="228" t="n">
        <x:f>I37/I20</x:f>
        <x:v>0.23839999999999997</x:v>
      </x:c>
      <x:c r="J38" s="189" t="str">
        <x:v>Calculated</x:v>
      </x:c>
    </x:row>
    <x:row r="39" ht="16" customHeight="1">
      <x:c r="A39" s="149" t="str">
        <x:v>Diluted weighted average shares</x:v>
      </x:c>
      <x:c r="B39" s="229" t="n">
        <x:f>'CGNX Historical'!D27</x:f>
        <x:v>173.399</x:v>
      </x:c>
      <x:c r="C39" s="229" t="n">
        <x:f>'CGNX Historical'!E27</x:f>
        <x:v>172.611</x:v>
      </x:c>
      <x:c r="D39" s="229" t="n">
        <x:f>'CGNX Historical'!F27</x:f>
        <x:v>169.367</x:v>
      </x:c>
      <x:c r="E39" s="230" t="n">
        <x:f>D39*(1+B16)</x:f>
        <x:v>167.67333</x:v>
      </x:c>
      <x:c r="F39" s="230" t="n">
        <x:f>E39*(1+C16)</x:f>
        <x:v>165.9965967</x:v>
      </x:c>
      <x:c r="G39" s="230" t="n">
        <x:f>F39*(1+D16)</x:f>
        <x:v>164.336630733</x:v>
      </x:c>
      <x:c r="H39" s="230" t="n">
        <x:f>G39*(1+E16)</x:f>
        <x:v>162.69326442566998</x:v>
      </x:c>
      <x:c r="I39" s="230" t="n">
        <x:f>H39*(1+F16)</x:f>
        <x:v>161.06633178141328</x:v>
      </x:c>
      <x:c r="J39" s="189" t="str">
        <x:v>Prior year shares × (1 + change)</x:v>
      </x:c>
    </x:row>
    <x:row r="40" ht="16" customHeight="1">
      <x:c r="A40" s="149" t="str">
        <x:v>Diluted EPS</x:v>
      </x:c>
      <x:c r="B40" s="231" t="n">
        <x:f>'CGNX Historical'!D28</x:f>
        <x:v>0.6530256806555977</x:v>
      </x:c>
      <x:c r="C40" s="231" t="n">
        <x:f>'CGNX Historical'!E28</x:f>
        <x:v>0.615088262045872</x:v>
      </x:c>
      <x:c r="D40" s="231" t="n">
        <x:f>'CGNX Historical'!F28</x:f>
        <x:v>0.6757042399050582</x:v>
      </x:c>
      <x:c r="E40" s="232" t="n">
        <x:f>E37/E39</x:f>
        <x:v>1.4957656056571431</x:v>
      </x:c>
      <x:c r="F40" s="232" t="n">
        <x:f>F37/F39</x:f>
        <x:v>1.6827843796390307</x:v>
      </x:c>
      <x:c r="G40" s="232" t="n">
        <x:f>G37/G39</x:f>
        <x:v>1.881495572964249</x:v>
      </x:c>
      <x:c r="H40" s="232" t="n">
        <x:f>H37/H39</x:f>
        <x:v>2.082961832232622</x:v>
      </x:c>
      <x:c r="I40" s="232" t="n">
        <x:f>I37/I39</x:f>
        <x:v>2.2635493809130875</x:v>
      </x:c>
      <x:c r="J40" s="189" t="str">
        <x:v>Calculated</x:v>
      </x:c>
    </x:row>
    <x:row r="41" ht="16" customHeight="1">
      <x:c r="A41" s="149"/>
      <x:c r="B41" s="195"/>
      <x:c r="C41" s="195"/>
      <x:c r="D41" s="195"/>
      <x:c r="E41" s="150"/>
      <x:c r="F41" s="150"/>
      <x:c r="G41" s="150"/>
      <x:c r="H41" s="150"/>
      <x:c r="I41" s="150"/>
      <x:c r="J41" s="189"/>
    </x:row>
    <x:row r="42" ht="16" customHeight="1">
      <x:c r="A42" s="239" t="str">
        <x:v>UNLEVERED FREE CASH FLOW</x:v>
      </x:c>
      <x:c r="B42" s="234"/>
      <x:c r="C42" s="234"/>
      <x:c r="D42" s="234"/>
      <x:c r="E42" s="235"/>
      <x:c r="F42" s="235"/>
      <x:c r="G42" s="235"/>
      <x:c r="H42" s="235"/>
      <x:c r="I42" s="235"/>
      <x:c r="J42" s="236"/>
    </x:row>
    <x:row r="43" ht="16" customHeight="1">
      <x:c r="A43" s="149" t="str">
        <x:v>NOPAT</x:v>
      </x:c>
      <x:c r="B43" s="226" t="n">
        <x:f>B29*(1-'CGNX Historical'!D24)</x:f>
        <x:v>109.3470924431835</x:v>
      </x:c>
      <x:c r="C43" s="226" t="n">
        <x:f>C29*(1-'CGNX Historical'!E24)</x:f>
        <x:v>92.90941535033349</x:v>
      </x:c>
      <x:c r="D43" s="226" t="n">
        <x:f>D29*(1-'CGNX Historical'!F24)</x:f>
        <x:v>101.77338416428705</x:v>
      </x:c>
      <x:c r="E43" s="227" t="n">
        <x:f>E29*(1-B12)</x:f>
        <x:v>237.12</x:v>
      </x:c>
      <x:c r="F43" s="227" t="n">
        <x:f>F29*(1-C12)</x:f>
        <x:v>266.4134399999999</x:v>
      </x:c>
      <x:c r="G43" s="227" t="n">
        <x:f>G29*(1-D12)</x:f>
        <x:v>297.3889728000001</x:v>
      </x:c>
      <x:c r="H43" s="227" t="n">
        <x:f>H29*(1-E12)</x:f>
        <x:v>327.39627168</x:v>
      </x:c>
      <x:c r="I43" s="227" t="n">
        <x:f>I29*(1-F12)</x:f>
        <x:v>353.5707420316801</x:v>
      </x:c>
      <x:c r="J43" s="189" t="str">
        <x:v>Operating income × (1 − tax rate)</x:v>
      </x:c>
    </x:row>
    <x:row r="44" ht="16" customHeight="1">
      <x:c r="A44" s="149" t="str">
        <x:v>Depreciation &amp; amortization</x:v>
      </x:c>
      <x:c r="B44" s="226" t="n">
        <x:f>'CGNX Historical'!D37</x:f>
        <x:v>21.88</x:v>
      </x:c>
      <x:c r="C44" s="226" t="n">
        <x:f>'CGNX Historical'!E37</x:f>
        <x:v>32.689</x:v>
      </x:c>
      <x:c r="D44" s="226" t="n">
        <x:f>'CGNX Historical'!F37</x:f>
        <x:v>30.793</x:v>
      </x:c>
      <x:c r="E44" s="227" t="n">
        <x:f>E31</x:f>
        <x:v>34.199999999999996</x:v>
      </x:c>
      <x:c r="F44" s="227" t="n">
        <x:f>F31</x:f>
        <x:v>36.0354</x:v>
      </x:c>
      <x:c r="G44" s="227" t="n">
        <x:f>G31</x:f>
        <x:v>37.57622400000001</x:v>
      </x:c>
      <x:c r="H44" s="227" t="n">
        <x:f>H31</x:f>
        <x:v>38.770611120000005</x:v>
      </x:c>
      <x:c r="I44" s="227" t="n">
        <x:f>I31</x:f>
        <x:v>39.76141562640001</x:v>
      </x:c>
      <x:c r="J44" s="189" t="str">
        <x:v>Linked / calculated above</x:v>
      </x:c>
    </x:row>
    <x:row r="45" ht="16" customHeight="1">
      <x:c r="A45" s="149" t="str">
        <x:v>Capital expenditures</x:v>
      </x:c>
      <x:c r="B45" s="226" t="n">
        <x:f>'CGNX Historical'!D40</x:f>
        <x:v>-23.077</x:v>
      </x:c>
      <x:c r="C45" s="226" t="n">
        <x:f>'CGNX Historical'!E40</x:f>
        <x:v>-15.043</x:v>
      </x:c>
      <x:c r="D45" s="226" t="n">
        <x:f>'CGNX Historical'!F40</x:f>
        <x:v>-8.743</x:v>
      </x:c>
      <x:c r="E45" s="227" t="n">
        <x:f>-E20*B14</x:f>
        <x:v>-17.099999999999998</x:v>
      </x:c>
      <x:c r="F45" s="227" t="n">
        <x:f>-F20*C14</x:f>
        <x:v>-19.881600000000002</x:v>
      </x:c>
      <x:c r="G45" s="227" t="n">
        <x:f>-G20*D14</x:f>
        <x:v>-22.814136000000005</x:v>
      </x:c>
      <x:c r="H45" s="227" t="n">
        <x:f>-H20*E14</x:f>
        <x:v>-25.847074080000002</x:v>
      </x:c>
      <x:c r="I45" s="227" t="n">
        <x:f>-I20*F14</x:f>
        <x:v>-27.527133895200002</x:v>
      </x:c>
      <x:c r="J45" s="189" t="str">
        <x:v>Revenue × capex %; cash outflow shown negative</x:v>
      </x:c>
    </x:row>
    <x:row r="46" ht="16" customHeight="1">
      <x:c r="A46" s="149" t="str">
        <x:v>Operating NWC</x:v>
      </x:c>
      <x:c r="B46" s="226" t="n">
        <x:f>'CGNX Historical'!D61</x:f>
        <x:v>254.995</x:v>
      </x:c>
      <x:c r="C46" s="226" t="n">
        <x:f>'CGNX Historical'!E61</x:f>
        <x:v>262.84</x:v>
      </x:c>
      <x:c r="D46" s="226" t="n">
        <x:f>'CGNX Historical'!F61</x:f>
        <x:v>234.39899999999997</x:v>
      </x:c>
      <x:c r="E46" s="227" t="n">
        <x:f>E20*B15</x:f>
        <x:v>262.2</x:v>
      </x:c>
      <x:c r="F46" s="227" t="n">
        <x:f>F20*C15</x:f>
        <x:v>283.31280000000004</x:v>
      </x:c>
      <x:c r="G46" s="227" t="n">
        <x:f>G20*D15</x:f>
        <x:v>301.95180000000005</x:v>
      </x:c>
      <x:c r="H46" s="227" t="n">
        <x:f>H20*E15</x:f>
        <x:v>320.21652888000006</x:v>
      </x:c>
      <x:c r="I46" s="227" t="n">
        <x:f>I20*F15</x:f>
        <x:v>336.44274760800005</x:v>
      </x:c>
      <x:c r="J46" s="189" t="str">
        <x:v>Revenue × operating NWC %</x:v>
      </x:c>
    </x:row>
    <x:row r="47" ht="16" customHeight="1">
      <x:c r="A47" s="149" t="str">
        <x:v>Change in operating NWC</x:v>
      </x:c>
      <x:c r="B47" s="226" t="n">
        <x:f>'CGNX Historical'!D61-'CGNX Historical'!C61</x:f>
        <x:v>34.20100000000002</x:v>
      </x:c>
      <x:c r="C47" s="226" t="n">
        <x:f>'CGNX Historical'!E61-'CGNX Historical'!D61</x:f>
        <x:v>7.84499999999997</x:v>
      </x:c>
      <x:c r="D47" s="226" t="n">
        <x:f>'CGNX Historical'!F61-'CGNX Historical'!E61</x:f>
        <x:v>-28.441000000000003</x:v>
      </x:c>
      <x:c r="E47" s="227" t="n">
        <x:f>E46-D46</x:f>
        <x:v>27.801000000000016</x:v>
      </x:c>
      <x:c r="F47" s="227" t="n">
        <x:f>F46-E46</x:f>
        <x:v>21.11280000000005</x:v>
      </x:c>
      <x:c r="G47" s="227" t="n">
        <x:f>G46-F46</x:f>
        <x:v>18.63900000000001</x:v>
      </x:c>
      <x:c r="H47" s="227" t="n">
        <x:f>H46-G46</x:f>
        <x:v>18.264728880000007</x:v>
      </x:c>
      <x:c r="I47" s="227" t="n">
        <x:f>I46-H46</x:f>
        <x:v>16.226218727999992</x:v>
      </x:c>
      <x:c r="J47" s="189" t="str">
        <x:v>Current less prior year</x:v>
      </x:c>
    </x:row>
    <x:row r="48" ht="16" customHeight="1">
      <x:c r="A48" s="240" t="str">
        <x:v>Unlevered free cash flow</x:v>
      </x:c>
      <x:c r="B48" s="241" t="n">
        <x:f>B43+B44+B45-B47</x:f>
        <x:v>73.94909244318347</x:v>
      </x:c>
      <x:c r="C48" s="241" t="n">
        <x:f>C43+C44+C45-C47</x:f>
        <x:v>102.7104153503335</x:v>
      </x:c>
      <x:c r="D48" s="241" t="n">
        <x:f>D43+D44+D45-D47</x:f>
        <x:v>152.26438416428707</x:v>
      </x:c>
      <x:c r="E48" s="241" t="n">
        <x:f>E43+E44+E45-E47</x:f>
        <x:v>226.41899999999998</x:v>
      </x:c>
      <x:c r="F48" s="241" t="n">
        <x:f>F43+F44+F45-F47</x:f>
        <x:v>261.45443999999986</x:v>
      </x:c>
      <x:c r="G48" s="241" t="n">
        <x:f>G43+G44+G45-G47</x:f>
        <x:v>293.5120608000001</x:v>
      </x:c>
      <x:c r="H48" s="241" t="n">
        <x:f>H43+H44+H45-H47</x:f>
        <x:v>322.05507983999996</x:v>
      </x:c>
      <x:c r="I48" s="241" t="n">
        <x:f>I43+I44+I45-I47</x:f>
        <x:v>349.5788050348801</x:v>
      </x:c>
      <x:c r="J48" s="189" t="str">
        <x:v>NOPAT + D&amp;A + capex − change in NWC</x:v>
      </x:c>
    </x:row>
    <x:row r="49" ht="16" customHeight="1">
      <x:c r="A49" s="243" t="str">
        <x:v>UFCF margin</x:v>
      </x:c>
      <x:c r="B49" s="244" t="n">
        <x:f>B48/B20</x:f>
        <x:v>0.08829246889211408</x:v>
      </x:c>
      <x:c r="C49" s="244" t="n">
        <x:f>C48/C20</x:f>
        <x:v>0.11231135120838205</x:v>
      </x:c>
      <x:c r="D49" s="244" t="n">
        <x:f>D48/D20</x:f>
        <x:v>0.1531281802289586</x:v>
      </x:c>
      <x:c r="E49" s="244" t="n">
        <x:f>E48/E20</x:f>
        <x:v>0.19861315789473682</x:v>
      </x:c>
      <x:c r="F49" s="244" t="n">
        <x:f>F48/F20</x:f>
        <x:v>0.21040917431192646</x:v>
      </x:c>
      <x:c r="G49" s="244" t="n">
        <x:f>G48/G20</x:f>
        <x:v>0.21871111111111113</x:v>
      </x:c>
      <x:c r="H49" s="244" t="n">
        <x:f>H48/H20</x:f>
        <x:v>0.22428037383177563</x:v>
      </x:c>
      <x:c r="I49" s="244" t="n">
        <x:f>I48/I20</x:f>
        <x:v>0.22858967136150235</x:v>
      </x:c>
      <x:c r="J49" s="192" t="str">
        <x:v>Calculated</x:v>
      </x:c>
    </x:row>
    <x:row r="50" ht="16" customHeight="1"/>
    <x:row r="51" ht="16" customHeight="1">
      <x:c r="A51" s="208" t="str">
        <x:v>Analyst note: FY2026 is anchored to management guidance. FY2027E–FY2030E are independent scenario assumptions. Stock-based compensation is not added back to UFCF, avoiding an aggressive cash-flow benefit unless dilution is separately captured in valuation.</x:v>
      </x:c>
      <x:c r="B51" s="208"/>
      <x:c r="C51" s="208"/>
      <x:c r="D51" s="208"/>
      <x:c r="E51" s="208"/>
      <x:c r="F51" s="208"/>
      <x:c r="G51" s="208"/>
      <x:c r="H51" s="208"/>
      <x:c r="I51" s="208"/>
      <x:c r="J51" s="208"/>
    </x:row>
    <x:row r="52" ht="16" customHeight="1">
      <x:c r="A52" s="208"/>
      <x:c r="B52" s="208"/>
      <x:c r="C52" s="208"/>
      <x:c r="D52" s="208"/>
      <x:c r="E52" s="208"/>
      <x:c r="F52" s="208"/>
      <x:c r="G52" s="208"/>
      <x:c r="H52" s="208"/>
      <x:c r="I52" s="208"/>
      <x:c r="J52" s="208"/>
    </x:row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8:J18"/>
    <x:mergeCell ref="A42:J42"/>
    <x:mergeCell ref="A51:J5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9" hidden="0" customWidth="1"/>
  </x:cols>
  <x:sheetData>
    <x:row r="1" ht="25" customHeight="1">
      <x:c r="A1" s="238" t="str">
        <x:v>ROK Forecast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Rockwell selected buyer metrics required for transaction analysis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FY2026E guidance-anchored buyer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BUYER FORECAST METRICS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223" t="str">
        <x:v>Fiscal year</x:v>
      </x:c>
      <x:c r="B6" s="224" t="str">
        <x:v>FY2023A</x:v>
      </x:c>
      <x:c r="C6" s="224" t="str">
        <x:v>FY2024A</x:v>
      </x:c>
      <x:c r="D6" s="224" t="str">
        <x:v>FY2025A</x:v>
      </x:c>
      <x:c r="E6" s="224" t="str">
        <x:v>FY2026E</x:v>
      </x:c>
      <x:c r="F6" s="224" t="str">
        <x:v>FY2027E</x:v>
      </x:c>
      <x:c r="G6" s="224" t="str">
        <x:v>FY2028E</x:v>
      </x:c>
      <x:c r="H6" s="224" t="str">
        <x:v>FY2029E</x:v>
      </x:c>
      <x:c r="I6" s="224" t="str">
        <x:v>FY2030E</x:v>
      </x:c>
      <x:c r="J6" s="225" t="str">
        <x:v>Source / methodology</x:v>
      </x:c>
    </x:row>
    <x:row r="7" ht="16" customHeight="1">
      <x:c r="A7" s="187" t="str">
        <x:v>Revenue</x:v>
      </x:c>
      <x:c r="B7" s="226" t="n">
        <x:f>'ROK Historical'!D7</x:f>
        <x:v>9058</x:v>
      </x:c>
      <x:c r="C7" s="226" t="n">
        <x:f>'ROK Historical'!E7</x:f>
        <x:v>8264</x:v>
      </x:c>
      <x:c r="D7" s="226" t="n">
        <x:f>'ROK Historical'!F7</x:f>
        <x:v>8342</x:v>
      </x:c>
      <x:c r="E7" s="227" t="n">
        <x:f>D7*(1+E8)</x:f>
        <x:v>9051.07</x:v>
      </x:c>
      <x:c r="F7" s="227" t="n">
        <x:f>E7*(1+F8)</x:f>
        <x:v>9503.6235</x:v>
      </x:c>
      <x:c r="G7" s="227" t="n">
        <x:f>F7*(1+G8)</x:f>
        <x:v>9931.2865575</x:v>
      </x:c>
      <x:c r="H7" s="227" t="n">
        <x:f>G7*(1+H8)</x:f>
        <x:v>10328.5380198</x:v>
      </x:c>
      <x:c r="I7" s="227" t="n">
        <x:f>H7*(1+I8)</x:f>
        <x:v>10741.679540592</x:v>
      </x:c>
      <x:c r="J7" s="189" t="str">
        <x:v>FY2026 S-018 midpoint; outer years analyst assumptions</x:v>
      </x:c>
    </x:row>
    <x:row r="8" ht="16" customHeight="1">
      <x:c r="A8" s="187" t="str">
        <x:v>% growth</x:v>
      </x:c>
      <x:c r="B8" s="200" t="n">
        <x:f>'ROK Historical'!D8</x:f>
        <x:v>0.16720787588268649</x:v>
      </x:c>
      <x:c r="C8" s="200" t="n">
        <x:f>'ROK Historical'!E8</x:f>
        <x:v>-0.08765731949657762</x:v>
      </x:c>
      <x:c r="D8" s="200" t="n">
        <x:f>'ROK Historical'!F8</x:f>
        <x:v>0.009438528557599302</x:v>
      </x:c>
      <x:c r="E8" s="228" t="n">
        <x:f>'Control'!C56</x:f>
        <x:v>0.085</x:v>
      </x:c>
      <x:c r="F8" s="228" t="n">
        <x:f>'Control'!D56</x:f>
        <x:v>0.05</x:v>
      </x:c>
      <x:c r="G8" s="228" t="n">
        <x:f>'Control'!E56</x:f>
        <x:v>0.045</x:v>
      </x:c>
      <x:c r="H8" s="228" t="n">
        <x:f>'Control'!F56</x:f>
        <x:v>0.04</x:v>
      </x:c>
      <x:c r="I8" s="228" t="n">
        <x:f>'Control'!G56</x:f>
        <x:v>0.04</x:v>
      </x:c>
      <x:c r="J8" s="189" t="str">
        <x:v>Control sheet</x:v>
      </x:c>
    </x:row>
    <x:row r="9" ht="16" customHeight="1">
      <x:c r="A9" s="187" t="str">
        <x:v>Segment / enterprise operating margin</x:v>
      </x:c>
      <x:c r="B9" s="200" t="n">
        <x:f>'ROK Historical'!D10</x:f>
        <x:v>0.21296091852506072</x:v>
      </x:c>
      <x:c r="C9" s="200" t="n">
        <x:f>'ROK Historical'!E10</x:f>
        <x:v>0.1930058083252662</x:v>
      </x:c>
      <x:c r="D9" s="200" t="n">
        <x:f>'ROK Historical'!F10</x:f>
        <x:v>0.20414768640613762</x:v>
      </x:c>
      <x:c r="E9" s="228" t="n">
        <x:f>'Control'!C57</x:f>
        <x:v>0.215</x:v>
      </x:c>
      <x:c r="F9" s="228" t="n">
        <x:f>'Control'!D57</x:f>
        <x:v>0.217</x:v>
      </x:c>
      <x:c r="G9" s="228" t="n">
        <x:f>'Control'!E57</x:f>
        <x:v>0.219</x:v>
      </x:c>
      <x:c r="H9" s="228" t="n">
        <x:f>'Control'!F57</x:f>
        <x:v>0.22</x:v>
      </x:c>
      <x:c r="I9" s="228" t="n">
        <x:f>'Control'!G57</x:f>
        <x:v>0.22</x:v>
      </x:c>
      <x:c r="J9" s="189" t="str">
        <x:v>Historical segment margin; forecast enterprise margin</x:v>
      </x:c>
    </x:row>
    <x:row r="10" ht="16" customHeight="1">
      <x:c r="A10" s="187" t="str">
        <x:v>Segment / enterprise operating profit</x:v>
      </x:c>
      <x:c r="B10" s="226" t="n">
        <x:f>'ROK Historical'!D9</x:f>
        <x:v>1929</x:v>
      </x:c>
      <x:c r="C10" s="226" t="n">
        <x:f>'ROK Historical'!E9</x:f>
        <x:v>1595</x:v>
      </x:c>
      <x:c r="D10" s="226" t="n">
        <x:f>'ROK Historical'!F9</x:f>
        <x:v>1703</x:v>
      </x:c>
      <x:c r="E10" s="227" t="n">
        <x:f>E7*E9</x:f>
        <x:v>1945.98005</x:v>
      </x:c>
      <x:c r="F10" s="227" t="n">
        <x:f>F7*F9</x:f>
        <x:v>2062.2862995</x:v>
      </x:c>
      <x:c r="G10" s="227" t="n">
        <x:f>G7*G9</x:f>
        <x:v>2174.9517560925</x:v>
      </x:c>
      <x:c r="H10" s="227" t="n">
        <x:f>H7*H9</x:f>
        <x:v>2272.278364356</x:v>
      </x:c>
      <x:c r="I10" s="227" t="n">
        <x:f>I7*I9</x:f>
        <x:v>2363.16949893024</x:v>
      </x:c>
      <x:c r="J10" s="189" t="str">
        <x:v>Revenue × margin</x:v>
      </x:c>
    </x:row>
    <x:row r="11" ht="16" customHeight="1">
      <x:c r="A11" s="187" t="str">
        <x:v>Reported / adjusted diluted EPS</x:v>
      </x:c>
      <x:c r="B11" s="231" t="n">
        <x:f>'ROK Historical'!D19</x:f>
        <x:v>11.95</x:v>
      </x:c>
      <x:c r="C11" s="231" t="n">
        <x:f>'ROK Historical'!E19</x:f>
        <x:v>8.28</x:v>
      </x:c>
      <x:c r="D11" s="231" t="n">
        <x:f>'ROK Historical'!F19</x:f>
        <x:v>7.67</x:v>
      </x:c>
      <x:c r="E11" s="232" t="n">
        <x:f>'Control'!C58</x:f>
        <x:v>13.15</x:v>
      </x:c>
      <x:c r="F11" s="232" t="n">
        <x:f>E11*(1+F12)</x:f>
        <x:v>13.939000000000002</x:v>
      </x:c>
      <x:c r="G11" s="232" t="n">
        <x:f>F11*(1+G12)</x:f>
        <x:v>14.775340000000003</x:v>
      </x:c>
      <x:c r="H11" s="232" t="n">
        <x:f>G11*(1+H12)</x:f>
        <x:v>15.514107000000005</x:v>
      </x:c>
      <x:c r="I11" s="232" t="n">
        <x:f>H11*(1+I12)</x:f>
        <x:v>16.289812350000005</x:v>
      </x:c>
      <x:c r="J11" s="189" t="str">
        <x:v>Historical reported EPS; forecast adjusted EPS</x:v>
      </x:c>
    </x:row>
    <x:row r="12" ht="16" customHeight="1">
      <x:c r="A12" s="187" t="str">
        <x:v>Adjusted EPS growth</x:v>
      </x:c>
      <x:c r="B12" s="200"/>
      <x:c r="C12" s="200"/>
      <x:c r="D12" s="200"/>
      <x:c r="E12" s="228"/>
      <x:c r="F12" s="228" t="n">
        <x:f>'Control'!D59</x:f>
        <x:v>0.06</x:v>
      </x:c>
      <x:c r="G12" s="228" t="n">
        <x:f>'Control'!E59</x:f>
        <x:v>0.06</x:v>
      </x:c>
      <x:c r="H12" s="228" t="n">
        <x:f>'Control'!F59</x:f>
        <x:v>0.05</x:v>
      </x:c>
      <x:c r="I12" s="228" t="n">
        <x:f>'Control'!G59</x:f>
        <x:v>0.05</x:v>
      </x:c>
      <x:c r="J12" s="189" t="str">
        <x:v>Analyst assumption after FY2026</x:v>
      </x:c>
    </x:row>
    <x:row r="13" ht="16" customHeight="1">
      <x:c r="A13" s="187" t="str">
        <x:v>Diluted weighted average shares</x:v>
      </x:c>
      <x:c r="B13" s="229" t="n">
        <x:f>'ROK Historical'!D17</x:f>
        <x:v>115.6</x:v>
      </x:c>
      <x:c r="C13" s="229" t="n">
        <x:f>'ROK Historical'!E17</x:f>
        <x:v>114.5</x:v>
      </x:c>
      <x:c r="D13" s="229" t="n">
        <x:f>'ROK Historical'!F17</x:f>
        <x:v>113.1</x:v>
      </x:c>
      <x:c r="E13" s="230" t="n">
        <x:f>D13*(1+'Control'!C60)</x:f>
        <x:v>112.1952</x:v>
      </x:c>
      <x:c r="F13" s="230" t="n">
        <x:f>E13*(1+'Control'!D60)</x:f>
        <x:v>111.2976384</x:v>
      </x:c>
      <x:c r="G13" s="230" t="n">
        <x:f>F13*(1+'Control'!E60)</x:f>
        <x:v>110.4072572928</x:v>
      </x:c>
      <x:c r="H13" s="230" t="n">
        <x:f>G13*(1+'Control'!F60)</x:f>
        <x:v>109.52399923445759</x:v>
      </x:c>
      <x:c r="I13" s="230" t="n">
        <x:f>H13*(1+'Control'!G60)</x:f>
        <x:v>108.64780724058193</x:v>
      </x:c>
      <x:c r="J13" s="189" t="str">
        <x:v>Prior year shares × (1 + change)</x:v>
      </x:c>
    </x:row>
    <x:row r="14" ht="16" customHeight="1">
      <x:c r="A14" s="187" t="str">
        <x:v>Adjusted net income proxy</x:v>
      </x:c>
      <x:c r="B14" s="226" t="n">
        <x:f>'ROK Historical'!D15</x:f>
        <x:v>1387</x:v>
      </x:c>
      <x:c r="C14" s="226" t="n">
        <x:f>'ROK Historical'!E15</x:f>
        <x:v>953</x:v>
      </x:c>
      <x:c r="D14" s="226" t="n">
        <x:f>'ROK Historical'!F15</x:f>
        <x:v>869</x:v>
      </x:c>
      <x:c r="E14" s="227" t="n">
        <x:f>E11*E13</x:f>
        <x:v>1475.36688</x:v>
      </x:c>
      <x:c r="F14" s="227" t="n">
        <x:f>F11*F13</x:f>
        <x:v>1551.3777816576</x:v>
      </x:c>
      <x:c r="G14" s="227" t="n">
        <x:f>G11*G13</x:f>
        <x:v>1631.3047649685998</x:v>
      </x:c>
      <x:c r="H14" s="227" t="n">
        <x:f>H11*H13</x:f>
        <x:v>1699.1670431912937</x:v>
      </x:c>
      <x:c r="I14" s="227" t="n">
        <x:f>I11*I13</x:f>
        <x:v>1769.8523921880515</x:v>
      </x:c>
      <x:c r="J14" s="189" t="str">
        <x:v>Adjusted EPS × diluted shares</x:v>
      </x:c>
    </x:row>
    <x:row r="15" ht="16" customHeight="1">
      <x:c r="A15" s="187" t="str">
        <x:v>FCF conversion</x:v>
      </x:c>
      <x:c r="B15" s="200" t="n">
        <x:f>'ROK Historical'!D31</x:f>
        <x:v>0.8749098774333093</x:v>
      </x:c>
      <x:c r="C15" s="200" t="n">
        <x:f>'ROK Historical'!E31</x:f>
        <x:v>0.670514165792235</x:v>
      </x:c>
      <x:c r="D15" s="200" t="n">
        <x:f>'ROK Historical'!F31</x:f>
        <x:v>1.5627157652474108</x:v>
      </x:c>
      <x:c r="E15" s="228" t="n">
        <x:f>'Control'!C61</x:f>
        <x:v>1</x:v>
      </x:c>
      <x:c r="F15" s="228" t="n">
        <x:f>'Control'!D61</x:f>
        <x:v>1</x:v>
      </x:c>
      <x:c r="G15" s="228" t="n">
        <x:f>'Control'!E61</x:f>
        <x:v>1</x:v>
      </x:c>
      <x:c r="H15" s="228" t="n">
        <x:f>'Control'!F61</x:f>
        <x:v>1</x:v>
      </x:c>
      <x:c r="I15" s="228" t="n">
        <x:f>'Control'!G61</x:f>
        <x:v>1</x:v>
      </x:c>
      <x:c r="J15" s="189" t="str">
        <x:v>FY2026 management outlook; held constant</x:v>
      </x:c>
    </x:row>
    <x:row r="16" ht="16" customHeight="1">
      <x:c r="A16" s="187" t="str">
        <x:v>Free cash flow proxy</x:v>
      </x:c>
      <x:c r="B16" s="226" t="n">
        <x:f>'ROK Historical'!D29</x:f>
        <x:v>1213.5</x:v>
      </x:c>
      <x:c r="C16" s="226" t="n">
        <x:f>'ROK Historical'!E29</x:f>
        <x:v>639</x:v>
      </x:c>
      <x:c r="D16" s="226" t="n">
        <x:f>'ROK Historical'!F29</x:f>
        <x:v>1358</x:v>
      </x:c>
      <x:c r="E16" s="227" t="n">
        <x:f>E14*E15</x:f>
        <x:v>1475.36688</x:v>
      </x:c>
      <x:c r="F16" s="227" t="n">
        <x:f>F14*F15</x:f>
        <x:v>1551.3777816576</x:v>
      </x:c>
      <x:c r="G16" s="227" t="n">
        <x:f>G14*G15</x:f>
        <x:v>1631.3047649685998</x:v>
      </x:c>
      <x:c r="H16" s="227" t="n">
        <x:f>H14*H15</x:f>
        <x:v>1699.1670431912937</x:v>
      </x:c>
      <x:c r="I16" s="227" t="n">
        <x:f>I14*I15</x:f>
        <x:v>1769.8523921880515</x:v>
      </x:c>
      <x:c r="J16" s="189" t="str">
        <x:v>Adjusted net income proxy × FCF conversion</x:v>
      </x:c>
    </x:row>
    <x:row r="17" ht="16" customHeight="1">
      <x:c r="A17" s="190" t="str">
        <x:v>Free cash flow margin</x:v>
      </x:c>
      <x:c r="B17" s="201" t="n">
        <x:f>'ROK Historical'!D30</x:f>
        <x:v>0.13396997129609184</x:v>
      </x:c>
      <x:c r="C17" s="201" t="n">
        <x:f>'ROK Historical'!E30</x:f>
        <x:v>0.07732333010648597</x:v>
      </x:c>
      <x:c r="D17" s="201" t="n">
        <x:f>'ROK Historical'!F30</x:f>
        <x:v>0.16279069767441862</x:v>
      </x:c>
      <x:c r="E17" s="237" t="n">
        <x:f>E16/E7</x:f>
        <x:v>0.16300469226290373</x:v>
      </x:c>
      <x:c r="F17" s="237" t="n">
        <x:f>F16/F7</x:f>
        <x:v>0.16324066096027479</x:v>
      </x:c>
      <x:c r="G17" s="237" t="n">
        <x:f>G16/G7</x:f>
        <x:v>0.16425915771573987</x:v>
      </x:c>
      <x:c r="H17" s="237" t="n">
        <x:f>H16/H7</x:f>
        <x:v>0.16451186411222563</x:v>
      </x:c>
      <x:c r="I17" s="237" t="n">
        <x:f>I16/I7</x:f>
        <x:v>0.1647649592877829</x:v>
      </x:c>
      <x:c r="J17" s="192" t="str">
        <x:v>Calculated</x:v>
      </x:c>
    </x:row>
    <x:row r="18" ht="16" customHeight="1"/>
    <x:row r="19" ht="16" customHeight="1">
      <x:c r="A19" s="208" t="str">
        <x:v>Analyst note: this buyer forecast intentionally uses a limited set of normalized metrics needed for financing and accretion/dilution analysis. Reported historical EPS and forecast adjusted EPS are shown transparently and will be reconciled before the transaction model is finalized.</x:v>
      </x:c>
      <x:c r="B19" s="208"/>
      <x:c r="C19" s="208"/>
      <x:c r="D19" s="208"/>
      <x:c r="E19" s="208"/>
      <x:c r="F19" s="208"/>
      <x:c r="G19" s="208"/>
      <x:c r="H19" s="208"/>
      <x:c r="I19" s="208"/>
      <x:c r="J19" s="208"/>
    </x:row>
    <x:row r="20" ht="16" customHeight="1">
      <x:c r="A20" s="208"/>
      <x:c r="B20" s="208"/>
      <x:c r="C20" s="208"/>
      <x:c r="D20" s="208"/>
      <x:c r="E20" s="208"/>
      <x:c r="F20" s="208"/>
      <x:c r="G20" s="208"/>
      <x:c r="H20" s="208"/>
      <x:c r="I20" s="208"/>
      <x:c r="J20" s="208"/>
    </x:row>
    <x:row r="21" ht="16" customHeight="1"/>
    <x:row r="22" ht="16" customHeight="1"/>
    <x:row r="23" ht="16" customHeight="1"/>
    <x:row r="24" ht="16" customHeight="1"/>
    <x:row r="25" ht="16" customHeight="1"/>
    <x:row r="26" ht="16" customHeight="1"/>
    <x:row r="27" ht="16" customHeight="1"/>
    <x:row r="28" ht="16" customHeight="1"/>
    <x:row r="29" ht="16" customHeight="1"/>
    <x:row r="30" ht="16" customHeight="1"/>
    <x:row r="31" ht="16" customHeight="1"/>
    <x:row r="32" ht="16" customHeight="1"/>
    <x:row r="33" ht="16" customHeight="1"/>
    <x:row r="34" ht="16" customHeight="1"/>
    <x:row r="35" ht="16" customHeight="1"/>
    <x:row r="36" ht="16" customHeight="1"/>
    <x:row r="37" ht="16" customHeight="1"/>
    <x:row r="38" ht="16" customHeight="1"/>
    <x:row r="39" ht="16" customHeight="1"/>
    <x:row r="40" ht="16" customHeight="1"/>
    <x:row r="41" ht="16" customHeight="1"/>
    <x:row r="42" ht="16" customHeight="1"/>
    <x:row r="43" ht="16" customHeight="1"/>
    <x:row r="44" ht="16" customHeight="1"/>
    <x:row r="45" ht="16" customHeight="1"/>
    <x:row r="46" ht="16" customHeight="1"/>
    <x:row r="47" ht="16" customHeight="1"/>
    <x:row r="48" ht="16" customHeight="1"/>
    <x:row r="49" ht="16" customHeight="1"/>
    <x:row r="50" ht="16" customHeight="1"/>
    <x:row r="51" ht="16" customHeight="1"/>
    <x:row r="52" ht="16" customHeight="1"/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9:J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DCF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Standalone discounted cash flow valuation of Cognex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Trading Comps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Public-company benchmarking and implied valuation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Precedent Transactions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Comparable acquisition multiples and premiums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Valuation Summary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synthesis, football field, and offer framework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Sources &amp; Uses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Purchase price, transaction uses, and funding sources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Purchase Accounting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Goodwill, intangible assets, amortization, and tax effects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Accretion Dilution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Pro forma earnings, shares, EPS, and accretion/dilution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Synergies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Cost and revenue synergies, timing, and implementation costs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Sensitivities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and transaction sensitivity analyses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6" customHeight="1">
      <x:c r="A1" s="119" t="str">
        <x:v>Model Checks</x:v>
      </x:c>
      <x:c r="B1" s="119"/>
      <x:c r="C1" s="119"/>
      <x:c r="D1" s="119"/>
      <x:c r="E1" s="119"/>
      <x:c r="F1" s="119"/>
      <x:c r="G1" s="119"/>
    </x:row>
    <x:row r="2">
      <x:c r="A2" s="122"/>
      <x:c r="B2" s="122"/>
      <x:c r="C2" s="122"/>
      <x:c r="D2" s="122"/>
      <x:c r="E2" s="122"/>
      <x:c r="F2" s="122"/>
      <x:c r="G2" s="122"/>
    </x:row>
    <x:row r="3">
      <x:c r="A3" s="133" t="str">
        <x:v>Overall model status</x:v>
      </x:c>
      <x:c r="B3" s="133" t="str">
        <x:v>OPERATING FORECAST COMPLETE</x:v>
      </x:c>
      <x:c r="C3" s="122"/>
      <x:c r="D3" s="122"/>
      <x:c r="E3" s="122"/>
      <x:c r="F3" s="122"/>
      <x:c r="G3" s="122"/>
    </x:row>
    <x:row r="4">
      <x:c r="A4" s="122"/>
      <x:c r="B4" s="122"/>
      <x:c r="C4" s="122"/>
      <x:c r="D4" s="122"/>
      <x:c r="E4" s="122"/>
      <x:c r="F4" s="122"/>
      <x:c r="G4" s="122"/>
    </x:row>
    <x:row r="5">
      <x:c r="A5" s="121" t="str">
        <x:v>Check</x:v>
      </x:c>
      <x:c r="B5" s="121" t="str">
        <x:v>Actual</x:v>
      </x:c>
      <x:c r="C5" s="121" t="str">
        <x:v>Expected</x:v>
      </x:c>
      <x:c r="D5" s="121" t="str">
        <x:v>Difference</x:v>
      </x:c>
      <x:c r="E5" s="121" t="str">
        <x:v>Tolerance</x:v>
      </x:c>
      <x:c r="F5" s="121" t="str">
        <x:v>Status</x:v>
      </x:c>
      <x:c r="G5" s="121" t="str">
        <x:v>Fix / location</x:v>
      </x:c>
    </x:row>
    <x:row r="6" ht="15" hidden="0" customHeight="1">
      <x:c r="A6" s="122" t="str">
        <x:v>Source completeness</x:v>
      </x:c>
      <x:c r="B6" s="134" t="n">
        <x:f>COUNTA('Sources'!A4:A9)</x:f>
        <x:v>6</x:v>
      </x:c>
      <x:c r="C6" s="135" t="n">
        <x:v>6</x:v>
      </x:c>
      <x:c r="D6" s="135" t="n">
        <x:f>B6-C6</x:f>
        <x:v>0</x:v>
      </x:c>
      <x:c r="E6" s="135" t="n">
        <x:v>0</x:v>
      </x:c>
      <x:c r="F6" s="122" t="str">
        <x:f>IF(ABS(D6)&lt;=E6,"OK","FAIL")</x:f>
        <x:v>OK</x:v>
      </x:c>
      <x:c r="G6" s="124" t="str">
        <x:v>Sources</x:v>
      </x:c>
    </x:row>
    <x:row r="7" ht="15" hidden="0" customHeight="1">
      <x:c r="A7" s="122" t="str">
        <x:v>CGNX gross profit tie-out</x:v>
      </x:c>
      <x:c r="B7" s="134" t="n">
        <x:f>MAX(ABS('CGNX Historical'!B12),ABS('CGNX Historical'!C12),ABS('CGNX Historical'!D12),ABS('CGNX Historical'!E12),ABS('CGNX Historical'!F12))</x:f>
        <x:v>0</x:v>
      </x:c>
      <x:c r="C7" s="135" t="n">
        <x:v>0</x:v>
      </x:c>
      <x:c r="D7" s="135" t="n">
        <x:f>B7-C7</x:f>
        <x:v>0</x:v>
      </x:c>
      <x:c r="E7" s="135" t="n">
        <x:v>0.1</x:v>
      </x:c>
      <x:c r="F7" s="122" t="str">
        <x:f>IF(ABS(D7)&lt;=E7,"OK","FAIL")</x:f>
        <x:v>OK</x:v>
      </x:c>
      <x:c r="G7" s="124" t="str">
        <x:v>CGNX Historical row 12</x:v>
      </x:c>
    </x:row>
    <x:row r="8" ht="15" hidden="0" customHeight="1">
      <x:c r="A8" s="122" t="str">
        <x:v>CGNX diluted EPS tie-out</x:v>
      </x:c>
      <x:c r="B8" s="134" t="n">
        <x:f>MAX(ABS('CGNX Historical'!B30),ABS('CGNX Historical'!C30),ABS('CGNX Historical'!D30),ABS('CGNX Historical'!E30),ABS('CGNX Historical'!F30))</x:f>
        <x:v>0.004911737954128026</x:v>
      </x:c>
      <x:c r="C8" s="135" t="n">
        <x:v>0</x:v>
      </x:c>
      <x:c r="D8" s="135" t="n">
        <x:f>B8-C8</x:f>
        <x:v>0.004911737954128026</x:v>
      </x:c>
      <x:c r="E8" s="135" t="n">
        <x:v>0.01</x:v>
      </x:c>
      <x:c r="F8" s="122" t="str">
        <x:f>IF(ABS(D8)&lt;=E8,"OK","FAIL")</x:f>
        <x:v>OK</x:v>
      </x:c>
      <x:c r="G8" s="124" t="str">
        <x:v>CGNX Historical row 30</x:v>
      </x:c>
    </x:row>
    <x:row r="9" ht="15" hidden="0" customHeight="1">
      <x:c r="A9" s="122" t="str">
        <x:v>CGNX balance sheet tie-out</x:v>
      </x:c>
      <x:c r="B9" s="134" t="n">
        <x:f>MAX(ABS('CGNX Historical'!B59),ABS('CGNX Historical'!C59),ABS('CGNX Historical'!D59),ABS('CGNX Historical'!E59),ABS('CGNX Historical'!F59))</x:f>
        <x:v>2.2737367544323206e-13</x:v>
      </x:c>
      <x:c r="C9" s="135" t="n">
        <x:v>0</x:v>
      </x:c>
      <x:c r="D9" s="135" t="n">
        <x:f>B9-C9</x:f>
        <x:v>2.2737367544323206e-13</x:v>
      </x:c>
      <x:c r="E9" s="135" t="n">
        <x:v>0.1</x:v>
      </x:c>
      <x:c r="F9" s="122" t="str">
        <x:f>IF(ABS(D9)&lt;=E9,"OK","FAIL")</x:f>
        <x:v>OK</x:v>
      </x:c>
      <x:c r="G9" s="124" t="str">
        <x:v>CGNX Historical row 59</x:v>
      </x:c>
    </x:row>
    <x:row r="10" ht="24" hidden="0" customHeight="1">
      <x:c r="A10" s="122" t="str">
        <x:v>ROK diluted EPS tie-out</x:v>
      </x:c>
      <x:c r="B10" s="134" t="n">
        <x:f>MAX(ABS('ROK Historical'!B20),ABS('ROK Historical'!C20),ABS('ROK Historical'!D20),ABS('ROK Historical'!E20),ABS('ROK Historical'!F20))</x:f>
        <x:v>0.048269896193772865</x:v>
      </x:c>
      <x:c r="C10" s="135" t="n">
        <x:v>0</x:v>
      </x:c>
      <x:c r="D10" s="135" t="n">
        <x:f>B10-C10</x:f>
        <x:v>0.048269896193772865</x:v>
      </x:c>
      <x:c r="E10" s="135" t="n">
        <x:v>0.05</x:v>
      </x:c>
      <x:c r="F10" s="122" t="str">
        <x:f>IF(ABS(D10)&lt;=E10,"OK","FAIL")</x:f>
        <x:v>OK</x:v>
      </x:c>
      <x:c r="G10" s="124" t="str">
        <x:v>ROK Historical row 20; tolerance reflects rounded $mm and share disclosures</x:v>
      </x:c>
    </x:row>
    <x:row r="11" ht="15" hidden="0" customHeight="1">
      <x:c r="A11" s="122" t="str">
        <x:v>ROK balance sheet tie-out</x:v>
      </x:c>
      <x:c r="B11" s="134" t="n">
        <x:f>MAX(ABS('ROK Historical'!B47),ABS('ROK Historical'!C47),ABS('ROK Historical'!D47),ABS('ROK Historical'!E47),ABS('ROK Historical'!F47))</x:f>
        <x:v>0</x:v>
      </x:c>
      <x:c r="C11" s="135" t="n">
        <x:v>0</x:v>
      </x:c>
      <x:c r="D11" s="135" t="n">
        <x:f>B11-C11</x:f>
        <x:v>0</x:v>
      </x:c>
      <x:c r="E11" s="135" t="n">
        <x:v>0.1</x:v>
      </x:c>
      <x:c r="F11" s="122" t="str">
        <x:f>IF(ABS(D11)&lt;=E11,"OK","FAIL")</x:f>
        <x:v>OK</x:v>
      </x:c>
      <x:c r="G11" s="124" t="str">
        <x:v>ROK Historical row 47</x:v>
      </x:c>
    </x:row>
    <x:row r="12">
      <x:c r="A12" s="184" t="str">
        <x:v>CGNX active revenue-growth link</x:v>
      </x:c>
      <x:c r="B12" s="245" t="n">
        <x:f>ABS('CGNX Operating Model'!E21-'CGNX Operating Model'!B7)</x:f>
        <x:v>0</x:v>
      </x:c>
      <x:c r="C12" s="245" t="n">
        <x:v>0</x:v>
      </x:c>
      <x:c r="D12" s="245" t="n">
        <x:f>B12-C12</x:f>
        <x:v>0</x:v>
      </x:c>
      <x:c r="E12" s="245" t="n">
        <x:v>0.000001</x:v>
      </x:c>
      <x:c r="F12" s="245" t="str">
        <x:f>IF(ABS(D12)&lt;=E12,"OK","ERROR")</x:f>
        <x:v>OK</x:v>
      </x:c>
      <x:c r="G12" s="186" t="str">
        <x:v>CGNX Operating Model row 21 / active drivers</x:v>
      </x:c>
    </x:row>
    <x:row r="13">
      <x:c r="A13" s="187" t="str">
        <x:v>CGNX operating-income identity</x:v>
      </x:c>
      <x:c r="B13" s="246" t="n">
        <x:f>MAX(ABS('CGNX Operating Model'!E29-('CGNX Operating Model'!E23-'CGNX Operating Model'!E25-'CGNX Operating Model'!E27)),ABS('CGNX Operating Model'!F29-('CGNX Operating Model'!F23-'CGNX Operating Model'!F25-'CGNX Operating Model'!F27)),ABS('CGNX Operating Model'!G29-('CGNX Operating Model'!G23-'CGNX Operating Model'!G25-'CGNX Operating Model'!G27)),ABS('CGNX Operating Model'!H29-('CGNX Operating Model'!H23-'CGNX Operating Model'!H25-'CGNX Operating Model'!H27)),ABS('CGNX Operating Model'!I29-('CGNX Operating Model'!I23-'CGNX Operating Model'!I25-'CGNX Operating Model'!I27)))</x:f>
        <x:v>0</x:v>
      </x:c>
      <x:c r="C13" s="246" t="n">
        <x:v>0</x:v>
      </x:c>
      <x:c r="D13" s="246" t="n">
        <x:f>B13-C13</x:f>
        <x:v>0</x:v>
      </x:c>
      <x:c r="E13" s="246" t="n">
        <x:v>0.1</x:v>
      </x:c>
      <x:c r="F13" s="246" t="str">
        <x:f>IF(ABS(D13)&lt;=E13,"OK","ERROR")</x:f>
        <x:v>OK</x:v>
      </x:c>
      <x:c r="G13" s="189" t="str">
        <x:v>CGNX Operating Model row 29</x:v>
      </x:c>
    </x:row>
    <x:row r="14">
      <x:c r="A14" s="187" t="str">
        <x:v>CGNX UFCF identity</x:v>
      </x:c>
      <x:c r="B14" s="246" t="n">
        <x:f>MAX(ABS('CGNX Operating Model'!E48-('CGNX Operating Model'!E43+'CGNX Operating Model'!E44+'CGNX Operating Model'!E45-'CGNX Operating Model'!E47)),ABS('CGNX Operating Model'!F48-('CGNX Operating Model'!F43+'CGNX Operating Model'!F44+'CGNX Operating Model'!F45-'CGNX Operating Model'!F47)),ABS('CGNX Operating Model'!G48-('CGNX Operating Model'!G43+'CGNX Operating Model'!G44+'CGNX Operating Model'!G45-'CGNX Operating Model'!G47)),ABS('CGNX Operating Model'!H48-('CGNX Operating Model'!H43+'CGNX Operating Model'!H44+'CGNX Operating Model'!H45-'CGNX Operating Model'!H47)),ABS('CGNX Operating Model'!I48-('CGNX Operating Model'!I43+'CGNX Operating Model'!I44+'CGNX Operating Model'!I45-'CGNX Operating Model'!I47)))</x:f>
        <x:v>0</x:v>
      </x:c>
      <x:c r="C14" s="246" t="n">
        <x:v>0</x:v>
      </x:c>
      <x:c r="D14" s="246" t="n">
        <x:f>B14-C14</x:f>
        <x:v>0</x:v>
      </x:c>
      <x:c r="E14" s="246" t="n">
        <x:v>0.1</x:v>
      </x:c>
      <x:c r="F14" s="246" t="str">
        <x:f>IF(ABS(D14)&lt;=E14,"OK","ERROR")</x:f>
        <x:v>OK</x:v>
      </x:c>
      <x:c r="G14" s="189" t="str">
        <x:v>CGNX Operating Model row 48</x:v>
      </x:c>
    </x:row>
    <x:row r="15">
      <x:c r="A15" s="190" t="str">
        <x:v>ROK FY2026 adjusted EPS guidance</x:v>
      </x:c>
      <x:c r="B15" s="247" t="n">
        <x:f>ABS('ROK Forecast'!E11-'Control'!C58)</x:f>
        <x:v>0</x:v>
      </x:c>
      <x:c r="C15" s="247" t="n">
        <x:v>0</x:v>
      </x:c>
      <x:c r="D15" s="247" t="n">
        <x:f>B15-C15</x:f>
        <x:v>0</x:v>
      </x:c>
      <x:c r="E15" s="247" t="n">
        <x:v>0.01</x:v>
      </x:c>
      <x:c r="F15" s="247" t="str">
        <x:f>IF(ABS(D15)&lt;=E15,"OK","ERROR")</x:f>
        <x:v>OK</x:v>
      </x:c>
      <x:c r="G15" s="192" t="str">
        <x:v>ROK Forecast row 11 / Control row 58</x:v>
      </x:c>
    </x:row>
  </x:sheetData>
  <x:mergeCells>
    <x:mergeCell ref="A1:G1"/>
  </x:mergeCells>
  <x:conditionalFormatting sqref="F6:F11">
    <x:cfRule type="containsText" dxfId="0" priority="1" operator="containsText" text="OK"/>
    <x:cfRule type="containsText" dxfId="1" priority="2" operator="containsText" text="FAIL"/>
  </x:conditionalFormatting>
  <x:conditionalFormatting sqref="F12:F15">
    <x:cfRule type="containsText" dxfId="2" priority="3" operator="containsText" text="OK"/>
    <x:cfRule type="containsText" dxfId="3" priority="4" operator="containsText" text="ERROR"/>
  </x:conditionalFormatting>
  <x:pageMargins left="0.7" right="0.7" top="0.75" bottom="0.75" header="0.3" footer="0.3"/>
</x:worksheet>
</file>