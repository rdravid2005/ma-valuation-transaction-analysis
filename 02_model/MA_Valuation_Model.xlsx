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5.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7fb7f75adb14687" /></Relationships>
</file>

<file path=xl/workbook.xml><?xml version="1.0" encoding="utf-8"?>
<x:workbook xmlns:x="http://schemas.openxmlformats.org/spreadsheetml/2006/main">
  <x:sheets>
    <x:sheet xmlns:r="http://schemas.openxmlformats.org/officeDocument/2006/relationships" name="Cover" sheetId="1" r:id="R04b6ac13bd0c4964"/>
    <x:sheet xmlns:r="http://schemas.openxmlformats.org/officeDocument/2006/relationships" name="Control" sheetId="2" r:id="Rcbcbeaae314b4d6d"/>
    <x:sheet xmlns:r="http://schemas.openxmlformats.org/officeDocument/2006/relationships" name="Sources" sheetId="3" r:id="Rce5dd49fb1d646f4"/>
    <x:sheet xmlns:r="http://schemas.openxmlformats.org/officeDocument/2006/relationships" name="ROK Historical" sheetId="4" r:id="R773f8f621dd54f58"/>
    <x:sheet xmlns:r="http://schemas.openxmlformats.org/officeDocument/2006/relationships" name="CGNX Historical" sheetId="5" r:id="Rb809e2b8ad1c49e4"/>
    <x:sheet xmlns:r="http://schemas.openxmlformats.org/officeDocument/2006/relationships" name="CGNX Operating Model" sheetId="6" r:id="Rbc13c4a400964cfa"/>
    <x:sheet xmlns:r="http://schemas.openxmlformats.org/officeDocument/2006/relationships" name="ROK Forecast" sheetId="7" r:id="R5bd3915f8463480a"/>
    <x:sheet xmlns:r="http://schemas.openxmlformats.org/officeDocument/2006/relationships" name="DCF" sheetId="8" r:id="R3d7bd505fb064a62"/>
    <x:sheet xmlns:r="http://schemas.openxmlformats.org/officeDocument/2006/relationships" name="Trading Comps" sheetId="9" r:id="Rcbc67dcbe159460d"/>
    <x:sheet xmlns:r="http://schemas.openxmlformats.org/officeDocument/2006/relationships" name="Precedent Transactions" sheetId="10" r:id="Raf6fcd4d9ce7451a"/>
    <x:sheet xmlns:r="http://schemas.openxmlformats.org/officeDocument/2006/relationships" name="Valuation Summary" sheetId="11" r:id="R5e1895f491ff432b"/>
    <x:sheet xmlns:r="http://schemas.openxmlformats.org/officeDocument/2006/relationships" name="Sources &amp; Uses" sheetId="12" r:id="Rf77c9a90abfb494d"/>
    <x:sheet xmlns:r="http://schemas.openxmlformats.org/officeDocument/2006/relationships" name="Purchase Accounting" sheetId="13" r:id="Rf089c6f9b0294c75"/>
    <x:sheet xmlns:r="http://schemas.openxmlformats.org/officeDocument/2006/relationships" name="Accretion Dilution" sheetId="14" r:id="R504d81771a6a4c5c"/>
    <x:sheet xmlns:r="http://schemas.openxmlformats.org/officeDocument/2006/relationships" name="Synergies" sheetId="15" r:id="R724de2b1edc04a60"/>
    <x:sheet xmlns:r="http://schemas.openxmlformats.org/officeDocument/2006/relationships" name="Sensitivities" sheetId="16" r:id="R3fbdf77a30cb46e6"/>
    <x:sheet xmlns:r="http://schemas.openxmlformats.org/officeDocument/2006/relationships" name="Checks" sheetId="17" r:id="Re7a48d1bf83042e5"/>
  </x:sheets>
</x:workbook>
</file>

<file path=xl/comments1.xml><?xml version="1.0" encoding="utf-8"?>
<x:comments xmlns:x="http://schemas.openxmlformats.org/spreadsheetml/2006/main">
  <x:authors>
    <x:author>tc={F6DB3FAA-A1EC-7D77-2866-86E73D1A637E}</x:author>
    <x:author>tc={CC4A0B00-5474-EF44-8ACC-00181B81D655}</x:author>
  </x:authors>
  <x:commentList>
    <x:comment ref="G7" authorId="0">
      <x:text>
        <x:r>
          <x:t>[Threaded comment]
Your version of Excel allows you to read this threaded comment; however, any edits to it will get removed if the file is opened in a newer version of Excel. Learn more: https://go.microsoft.com/fwlink/?linkid=870924
Comment:
    Sources: Rockwell FY2022 and FY2025 Forms 10-K; SEC Company Facts. Total segment operating earnings is a company-defined non-GAAP measure.</x:t>
        </x:r>
      </x:text>
    </x:comment>
    <x:comment ref="G35" authorId="1">
      <x:text>
        <x:r>
          <x:t>[Threaded comment]
Your version of Excel allows you to read this threaded comment; however, any edits to it will get removed if the file is opened in a newer version of Excel. Learn more: https://go.microsoft.com/fwlink/?linkid=870924
Comment:
    Balance sheet and financing-capacity inputs are sourced from audited Rockwell Forms 10-K.</x:t>
        </x:r>
      </x:text>
    </x:comment>
  </x:commentList>
</x:comments>
</file>

<file path=xl/comments2.xml><?xml version="1.0" encoding="utf-8"?>
<x:comments xmlns:x="http://schemas.openxmlformats.org/spreadsheetml/2006/main">
  <x:authors>
    <x:author>tc={85CE8A89-E83C-1D89-0606-CC1110311CD7}</x:author>
    <x:author>tc={F880D00B-EDF4-F6C0-6143-47B16B480219}</x:author>
  </x:authors>
  <x:commentList>
    <x:comment ref="G7" authorId="0">
      <x:text>
        <x:r>
          <x:t>[Threaded comment]
Your version of Excel allows you to read this threaded comment; however, any edits to it will get removed if the file is opened in a newer version of Excel. Learn more: https://go.microsoft.com/fwlink/?linkid=870924
Comment:
    Sources: Cognex FY2023 and FY2025 Forms 10-K; SEC Company Facts. See the Sources worksheet for URLs and filing dates.</x:t>
        </x:r>
      </x:text>
    </x:comment>
    <x:comment ref="G47" authorId="1">
      <x:text>
        <x:r>
          <x:t>[Threaded comment]
Your version of Excel allows you to read this threaded comment; however, any edits to it will get removed if the file is opened in a newer version of Excel. Learn more: https://go.microsoft.com/fwlink/?linkid=870924
Comment:
    Balance sheet inputs are taken from Cognex's audited Forms 10-K and reconciled to total assets, liabilities, and equity.</x:t>
        </x:r>
      </x:text>
    </x:comment>
  </x:commentList>
</x:comments>
</file>

<file path=xl/comments3.xml><?xml version="1.0" encoding="utf-8"?>
<x:comments xmlns:x="http://schemas.openxmlformats.org/spreadsheetml/2006/main">
  <x:authors>
    <x:author>tc={8BDDC509-894D-E4D6-9015-2B10CA3BAAAD}</x:author>
    <x:author>tc={B2C64C71-952F-5108-98F3-1211111A0BF8}</x:author>
    <x:author>tc={DED1E4DB-EA7E-EF00-070B-1F37A5386B43}</x:author>
    <x:author>tc={5F3C8384-FD1D-8400-67F5-3F032724E8F4}</x:author>
    <x:author>tc={74CE60E2-80E3-7DF4-0049-CED183A6E69F}</x:author>
  </x:authors>
  <x:commentList>
    <x:comment ref="B7" authorId="0">
      <x:text>
        <x:r>
          <x:t>[Threaded comment]
Your version of Excel allows you to read this threaded comment; however, any edits to it will get removed if the file is opened in a newer version of Excel. Learn more: https://go.microsoft.com/fwlink/?linkid=870924
Comment:
    Source: U.S. Treasury Daily Treasury Par Yield Curve Rates, Aug. 20, 2026. Rounded 10-year yield used in CAPM.</x:t>
        </x:r>
      </x:text>
    </x:comment>
    <x:comment ref="B8" authorId="1">
      <x:text>
        <x:r>
          <x:t>[Threaded comment]
Your version of Excel allows you to read this threaded comment; however, any edits to it will get removed if the file is opened in a newer version of Excel. Learn more: https://go.microsoft.com/fwlink/?linkid=870924
Comment:
    Source: StockAnalysis Cognex statistics. Observed beta rounded to 1.50 and adjusted toward 1.0.</x:t>
        </x:r>
      </x:text>
    </x:comment>
    <x:comment ref="B12" authorId="2">
      <x:text>
        <x:r>
          <x:t>[Threaded comment]
Your version of Excel allows you to read this threaded comment; however, any edits to it will get removed if the file is opened in a newer version of Excel. Learn more: https://go.microsoft.com/fwlink/?linkid=870924
Comment:
    Source: Kroll recommended U.S. equity risk premium, accessed Aug. 20, 2026.</x:t>
        </x:r>
      </x:text>
    </x:comment>
    <x:comment ref="B19" authorId="3">
      <x:text>
        <x:r>
          <x:t>[Threaded comment]
Your version of Excel allows you to read this threaded comment; however, any edits to it will get removed if the file is opened in a newer version of Excel. Learn more: https://go.microsoft.com/fwlink/?linkid=870924
Comment:
    Source: Cognex Q2 2026 earnings release furnished to the SEC. Cash and investments were $755.013 million as of July 5, 2026.</x:t>
        </x:r>
      </x:text>
    </x:comment>
    <x:comment ref="B21" authorId="4">
      <x:text>
        <x:r>
          <x:t>[Threaded comment]
Your version of Excel allows you to read this threaded comment; however, any edits to it will get removed if the file is opened in a newer version of Excel. Learn more: https://go.microsoft.com/fwlink/?linkid=870924
Comment:
    Source: Cognex Q2 2026 filing. Latest basic shares outstanding used as a provisional diluted-share proxy; treasury-stock-method dilution will be revisited before final publication.</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27">
    <x:numFmt numFmtId="200" formatCode="mmm d, yyyy"/>
    <x:numFmt numFmtId="201" formatCode="0"/>
    <x:numFmt numFmtId="202" formatCode="$0.00;[Red]($0.00);-"/>
    <x:numFmt numFmtId="203" formatCode="0.0%;[Red](0.0%);-"/>
    <x:numFmt numFmtId="204" formatCode="$#,##0;[Red]($#,##0);-"/>
    <x:numFmt numFmtId="205" formatCode="yyyy&quot;A&quot;"/>
    <x:numFmt numFmtId="206" formatCode="$#,##0.0;[Red]($#,##0.0);-"/>
    <x:numFmt numFmtId="207" formatCode="0.0;[Red](0.0);-"/>
    <x:numFmt numFmtId="208" formatCode="$0.000;[Red]($0.000);-"/>
    <x:numFmt numFmtId="209" formatCode="0.0"/>
    <x:numFmt numFmtId="210" formatCode="0.0x;[Red](0.0x);-"/>
    <x:numFmt numFmtId="211" formatCode="yyyy-mm-dd"/>
    <x:numFmt numFmtId="212" formatCode="0.000;[Red](0.000);-"/>
    <x:numFmt numFmtId="213" formatCode="0.0%"/>
    <x:numFmt numFmtId="214" formatCode="$0.00"/>
    <x:numFmt numFmtId="215" formatCode="$#,##0.0"/>
    <x:numFmt numFmtId="216" formatCode="0.000"/>
    <x:numFmt numFmtId="217" formatCode="0.00x"/>
    <x:numFmt numFmtId="218" formatCode="0.0x"/>
    <x:numFmt numFmtId="219" formatCode="0.000x"/>
    <x:numFmt numFmtId="220" formatCode="#,##0"/>
    <x:numFmt numFmtId="221" formatCode="#,##0.0"/>
    <x:numFmt numFmtId="222" formatCode=";;;"/>
    <x:numFmt numFmtId="223" formatCode="$0"/>
    <x:numFmt numFmtId="224" formatCode="yyyy&quot;E&quot;"/>
    <x:numFmt numFmtId="225" formatCode="$#,##0.00"/>
    <x:numFmt numFmtId="226" formatCode="#,##0.0;[Red](#,##0.0);-"/>
  </x:numFmts>
  <x:fonts count="53">
    <x:font>
      <x:sz val="11"/>
      <x:name val="Carlito"/>
    </x:font>
    <x:font>
      <x:b/>
      <x:sz val="15"/>
      <x:color rgb="FFFFFFFF"/>
      <x:name val="Carlito"/>
    </x:font>
    <x:font>
      <x:i/>
      <x:sz val="10"/>
      <x:color rgb="FF17365D"/>
      <x:name val="Carlito"/>
    </x:font>
    <x:font>
      <x:b/>
      <x:sz val="11"/>
      <x:color rgb="FF000000"/>
      <x:name val="Carlito"/>
    </x:font>
    <x:font>
      <x:b/>
      <x:sz val="11"/>
      <x:color rgb="FF17365D"/>
      <x:name val="Carlito"/>
    </x:font>
    <x:font>
      <x:b/>
      <x:sz val="11"/>
      <x:color rgb="FFFFFFFF"/>
      <x:name val="Carlito"/>
    </x:font>
    <x:font>
      <x:i/>
      <x:sz val="11"/>
      <x:color rgb="FF666666"/>
      <x:name val="Carlito"/>
    </x:font>
    <x:font>
      <x:b/>
      <x:sz val="18"/>
      <x:color rgb="FFFFFFFF"/>
      <x:name val="Carlito"/>
    </x:font>
    <x:font>
      <x:b/>
      <x:sz val="12"/>
      <x:color rgb="FF17365D"/>
      <x:name val="Carlito"/>
    </x:font>
    <x:font>
      <x:b/>
      <x:sz val="11"/>
      <x:color rgb="FF008000"/>
      <x:name val="Carlito"/>
    </x:font>
    <x:font>
      <x:sz val="11"/>
      <x:color rgb="FF0000FF"/>
      <x:name val="Carlito"/>
    </x:font>
    <x:font>
      <x:sz val="11"/>
      <x:color rgb="FF000000"/>
      <x:name val="Carlito"/>
    </x:font>
    <x:font>
      <x:sz val="11"/>
      <x:color rgb="FF008000"/>
      <x:name val="Carlito"/>
    </x:font>
    <x:font>
      <x:sz val="11"/>
      <x:color rgb="FF0563C1"/>
      <x:name val="Carlito"/>
    </x:font>
    <x:font>
      <x:sz val="10"/>
      <x:color rgb="FF000000"/>
      <x:name val="Arial"/>
    </x:font>
    <x:font>
      <x:b/>
      <x:sz val="15"/>
      <x:color rgb="FFFFFFFF"/>
      <x:name val="Arial"/>
    </x:font>
    <x:font>
      <x:i/>
      <x:sz val="10"/>
      <x:color rgb="FF1F4E78"/>
      <x:name val="Arial"/>
    </x:font>
    <x:font>
      <x:b/>
      <x:sz val="10"/>
      <x:color rgb="FF000000"/>
      <x:name val="Arial"/>
    </x:font>
    <x:font>
      <x:b/>
      <x:sz val="10"/>
      <x:color rgb="FF008000"/>
      <x:name val="Arial"/>
    </x:font>
    <x:font>
      <x:b/>
      <x:sz val="10"/>
      <x:color rgb="FFFFFFFF"/>
      <x:name val="Arial"/>
    </x:font>
    <x:font>
      <x:b/>
      <x:sz val="10"/>
      <x:color rgb="FF1F4E78"/>
      <x:name val="Arial"/>
    </x:font>
    <x:font>
      <x:sz val="10"/>
      <x:color rgb="FF1F4E78"/>
      <x:name val="Arial"/>
    </x:font>
    <x:font>
      <x:i/>
      <x:sz val="11"/>
      <x:color rgb="FF1F4E78"/>
      <x:name val="Carlito"/>
    </x:font>
    <x:font>
      <x:b/>
      <x:sz val="11"/>
      <x:color rgb="FF1F4E78"/>
      <x:name val="Carlito"/>
    </x:font>
    <x:font>
      <x:sz val="10"/>
      <x:name val="Arial"/>
    </x:font>
    <x:font>
      <x:b/>
      <x:sz val="11"/>
      <x:name val="Carlito"/>
    </x:font>
    <x:font>
      <x:b/>
      <x:sz val="10"/>
      <x:name val="Arial"/>
    </x:font>
    <x:font>
      <x:sz val="10"/>
      <x:color rgb="FF008000"/>
      <x:name val="Arial"/>
    </x:font>
    <x:font>
      <x:sz val="11"/>
      <x:color rgb="FF222222"/>
      <x:name val="Carlito"/>
    </x:font>
    <x:font>
      <x:i/>
      <x:sz val="11"/>
      <x:color rgb="FF222222"/>
      <x:name val="Carlito"/>
    </x:font>
    <x:font>
      <x:b/>
      <x:sz val="11"/>
      <x:color rgb="FF222222"/>
      <x:name val="Carlito"/>
    </x:font>
    <x:font>
      <x:i/>
      <x:sz val="11"/>
      <x:color rgb="FF000000"/>
      <x:name val="Carlito"/>
    </x:font>
    <x:font>
      <x:b/>
      <x:sz val="12"/>
      <x:color rgb="FF000000"/>
      <x:name val="Carlito"/>
    </x:font>
    <x:font>
      <x:b/>
      <x:sz val="16"/>
      <x:color rgb="FFFFFFFF"/>
      <x:name val="Arial"/>
    </x:font>
    <x:font>
      <x:i/>
      <x:sz val="10"/>
      <x:color rgb="FF17365D"/>
      <x:name val="Arial"/>
    </x:font>
    <x:font>
      <x:b/>
      <x:sz val="10"/>
      <x:color rgb="FF17365D"/>
      <x:name val="Arial"/>
    </x:font>
    <x:font>
      <x:b/>
      <x:sz val="9"/>
      <x:color rgb="FF17365D"/>
      <x:name val="Arial"/>
    </x:font>
    <x:font>
      <x:sz val="9"/>
      <x:color rgb="FF0000FF"/>
      <x:name val="Arial"/>
    </x:font>
    <x:font>
      <x:sz val="9"/>
      <x:color rgb="FF000000"/>
      <x:name val="Arial"/>
    </x:font>
    <x:font>
      <x:i/>
      <x:sz val="9"/>
      <x:color rgb="FF666666"/>
      <x:name val="Arial"/>
    </x:font>
    <x:font>
      <x:b/>
      <x:sz val="9"/>
      <x:color rgb="FF008000"/>
      <x:name val="Arial"/>
    </x:font>
    <x:font>
      <x:b/>
      <x:sz val="9"/>
      <x:color rgb="FF000000"/>
      <x:name val="Arial"/>
    </x:font>
    <x:font>
      <x:sz val="9"/>
      <x:color rgb="FF008000"/>
      <x:name val="Arial"/>
    </x:font>
    <x:font>
      <x:b/>
      <x:sz val="10"/>
      <x:color rgb="FF0000FF"/>
      <x:name val="Arial"/>
    </x:font>
    <x:font>
      <x:b/>
      <x:sz val="8"/>
      <x:color rgb="FF17365D"/>
      <x:name val="Arial"/>
    </x:font>
    <x:font>
      <x:b/>
      <x:sz val="9"/>
      <x:color rgb="FFC00000"/>
      <x:name val="Arial"/>
    </x:font>
    <x:font>
      <x:b/>
      <x:sz val="10"/>
      <x:color rgb="FF17365D"/>
      <x:name val="Carlito"/>
    </x:font>
    <x:font>
      <x:b/>
      <x:sz val="10"/>
      <x:color rgb="FF000000"/>
      <x:name val="Carlito"/>
    </x:font>
    <x:font>
      <x:sz val="10"/>
      <x:color rgb="FF008000"/>
      <x:name val="Carlito"/>
    </x:font>
    <x:font>
      <x:sz val="10"/>
      <x:color rgb="FF0000FF"/>
      <x:name val="Carlito"/>
    </x:font>
    <x:font>
      <x:sz val="9"/>
      <x:color rgb="FF666666"/>
      <x:name val="Carlito"/>
    </x:font>
    <x:font>
      <x:sz val="9"/>
      <x:color rgb="FF000000"/>
      <x:name val="Carlito"/>
    </x:font>
    <x:font>
      <x:sz val="10"/>
      <x:color rgb="FF000000"/>
      <x:name val="Carlito"/>
    </x:font>
  </x:fonts>
  <x:fills count="78">
    <x:fill>
      <x:patternFill patternType="none"/>
    </x:fill>
    <x:fill>
      <x:patternFill patternType="gray125"/>
    </x:fill>
    <x:fill>
      <x:patternFill patternType="solid">
        <x:fgColor rgb="FF17365D"/>
      </x:patternFill>
    </x:fill>
    <x:fill>
      <x:patternFill patternType="solid">
        <x:fgColor rgb="FFEAF3F8"/>
      </x:patternFill>
    </x:fill>
    <x:fill>
      <x:patternFill patternType="solid">
        <x:fgColor rgb="FFFFF2CC"/>
      </x:patternFill>
    </x:fill>
    <x:fill>
      <x:patternFill patternType="solid">
        <x:fgColor rgb="FF1F4E78"/>
      </x:patternFill>
    </x:fill>
    <x:fill>
      <x:patternFill patternType="solid">
        <x:fgColor rgb="FFE7E6E6"/>
      </x:patternFill>
    </x:fill>
    <x:fill>
      <x:patternFill patternType="solid">
        <x:fgColor rgb="FFD9EAF7"/>
      </x:patternFill>
    </x:fill>
    <x:fill>
      <x:patternFill patternType="solid">
        <x:fgColor rgb="FFC6E0B4"/>
      </x:patternFill>
    </x:fill>
    <x:fill>
      <x:patternFill patternType="solid">
        <x:fgColor rgb="FF1F4E78"/>
      </x:patternFill>
    </x:fill>
    <x:fill>
      <x:patternFill patternType="solid">
        <x:fgColor rgb="FFEAF2F8"/>
      </x:patternFill>
    </x:fill>
    <x:fill>
      <x:patternFill patternType="solid">
        <x:fgColor rgb="FFE2F0D9"/>
      </x:patternFill>
    </x:fill>
    <x:fill>
      <x:patternFill patternType="solid">
        <x:fgColor rgb="FFD9EAF7"/>
      </x:patternFill>
    </x:fill>
    <x:fill>
      <x:patternFill patternType="solid">
        <x:fgColor rgb="FF17365D"/>
      </x:patternFill>
    </x:fill>
    <x:fill>
      <x:patternFill patternType="solid">
        <x:fgColor rgb="FF4472C4"/>
      </x:patternFill>
    </x:fill>
    <x:fill>
      <x:patternFill patternType="solid">
        <x:fgColor rgb="FFFFF2CC"/>
      </x:patternFill>
    </x:fill>
    <x:fill>
      <x:patternFill patternType="solid">
        <x:fgColor rgb="FFD9EAF7"/>
      </x:patternFill>
    </x:fill>
    <x:fill>
      <x:patternFill patternType="solid">
        <x:fgColor rgb="FFF2F2F2"/>
      </x:patternFill>
    </x:fill>
    <x:fill>
      <x:patternFill patternType="solid">
        <x:fgColor rgb="FF17365D"/>
      </x:patternFill>
    </x:fill>
    <x:fill>
      <x:patternFill patternType="solid">
        <x:fgColor rgb="FFD9EAF7"/>
      </x:patternFill>
    </x:fill>
    <x:fill>
      <x:patternFill patternType="solid">
        <x:fgColor rgb="FFF2F2F2"/>
      </x:patternFill>
    </x:fill>
    <x:fill>
      <x:patternFill patternType="solid">
        <x:fgColor rgb="FF4472C4"/>
      </x:patternFill>
    </x:fill>
    <x:fill>
      <x:patternFill patternType="solid">
        <x:fgColor rgb="FFFFF2CC"/>
      </x:patternFill>
    </x:fill>
    <x:fill>
      <x:patternFill patternType="solid">
        <x:fgColor rgb="FFE2F0D9"/>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CE4D6"/>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F8F8F8"/>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4CCCC"/>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E2F0D9"/>
      </x:patternFill>
    </x:fill>
    <x:fill>
      <x:patternFill patternType="solid">
        <x:fgColor rgb="FFE7E6E6"/>
      </x:patternFill>
    </x:fill>
    <x:fill>
      <x:patternFill patternType="solid">
        <x:fgColor rgb="FFF4CCCC"/>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F2F2F2"/>
      </x:patternFill>
    </x:fill>
  </x:fills>
  <x:borders count="30">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bottom style="thin">
        <x:color rgb="FFA6A6A6"/>
      </x:bottom>
    </x:border>
    <x:border>
      <x:top style="thin">
        <x:color rgb="FF000000"/>
      </x:top>
    </x:border>
    <x:border>
      <x:right style="thin">
        <x:color rgb="FFE7E6E6"/>
      </x:right>
      <x:bottom style="thin">
        <x:color rgb="FFE7E6E6"/>
      </x:bottom>
    </x:border>
    <x:border>
      <x:left style="thin">
        <x:color rgb="FFE7E6E6"/>
      </x:left>
      <x:right style="thin">
        <x:color rgb="FFE7E6E6"/>
      </x:right>
      <x:bottom style="thin">
        <x:color rgb="FFE7E6E6"/>
      </x:bottom>
    </x:border>
    <x:border>
      <x:left style="thin">
        <x:color rgb="FFE7E6E6"/>
      </x:left>
      <x:bottom style="thin">
        <x:color rgb="FFE7E6E6"/>
      </x:bottom>
    </x:border>
    <x:border>
      <x:right style="thin">
        <x:color rgb="FFE7E6E6"/>
      </x:right>
      <x:top style="thin">
        <x:color rgb="FFE7E6E6"/>
      </x:top>
      <x:bottom style="thin">
        <x:color rgb="FFE7E6E6"/>
      </x:bottom>
    </x:border>
    <x:border>
      <x:left style="thin">
        <x:color rgb="FFE7E6E6"/>
      </x:left>
      <x:right style="thin">
        <x:color rgb="FFE7E6E6"/>
      </x:right>
      <x:top style="thin">
        <x:color rgb="FFE7E6E6"/>
      </x:top>
      <x:bottom style="thin">
        <x:color rgb="FFE7E6E6"/>
      </x:bottom>
    </x:border>
    <x:border>
      <x:left style="thin">
        <x:color rgb="FFE7E6E6"/>
      </x:left>
      <x:top style="thin">
        <x:color rgb="FFE7E6E6"/>
      </x:top>
      <x:bottom style="thin">
        <x:color rgb="FFE7E6E6"/>
      </x:bottom>
    </x:border>
    <x:border>
      <x:right style="thin">
        <x:color rgb="FFE7E6E6"/>
      </x:right>
      <x:top style="thin">
        <x:color rgb="FFE7E6E6"/>
      </x:top>
    </x:border>
    <x:border>
      <x:left style="thin">
        <x:color rgb="FFE7E6E6"/>
      </x:left>
      <x:right style="thin">
        <x:color rgb="FFE7E6E6"/>
      </x:right>
      <x:top style="thin">
        <x:color rgb="FFE7E6E6"/>
      </x:top>
    </x:border>
    <x:border>
      <x:left style="thin">
        <x:color rgb="FFE7E6E6"/>
      </x:left>
      <x:top style="thin">
        <x:color rgb="FFE7E6E6"/>
      </x:top>
    </x:border>
    <x:border>
      <x:left style="thin">
        <x:color rgb="FFBFBFBF"/>
      </x:left>
      <x:right style="thin">
        <x:color rgb="FFBFBFBF"/>
      </x:right>
      <x:top style="thin">
        <x:color rgb="FFBFBFBF"/>
      </x:top>
      <x:bottom style="thin">
        <x:color rgb="FFBFBFBF"/>
      </x:bottom>
    </x:border>
    <x:border>
      <x:right style="thin">
        <x:color rgb="FFE7E6E6"/>
      </x:right>
      <x:top style="thin">
        <x:color rgb="FF000000"/>
      </x:top>
      <x:bottom style="thin">
        <x:color rgb="FFE7E6E6"/>
      </x:bottom>
    </x:border>
    <x:border>
      <x:left style="thin">
        <x:color rgb="FFE7E6E6"/>
      </x:left>
      <x:right style="thin">
        <x:color rgb="FFE7E6E6"/>
      </x:right>
      <x:top style="thin">
        <x:color rgb="FF000000"/>
      </x:top>
      <x:bottom style="thin">
        <x:color rgb="FFE7E6E6"/>
      </x:bottom>
    </x:border>
    <x:border>
      <x:right style="thin">
        <x:color rgb="FFE7E6E6"/>
      </x:right>
      <x:top style="double">
        <x:color rgb="FF000000"/>
      </x:top>
      <x:bottom style="thin">
        <x:color rgb="FFE7E6E6"/>
      </x:bottom>
    </x:border>
    <x:border>
      <x:left style="thin">
        <x:color rgb="FFE7E6E6"/>
      </x:left>
      <x:right style="thin">
        <x:color rgb="FFE7E6E6"/>
      </x:right>
      <x:top style="double">
        <x:color rgb="FF000000"/>
      </x:top>
      <x:bottom style="thin">
        <x:color rgb="FFE7E6E6"/>
      </x:bottom>
    </x:border>
    <x:border>
      <x:left style="medium">
        <x:color rgb="FF000000"/>
      </x:left>
      <x:right style="medium">
        <x:color rgb="FF000000"/>
      </x:right>
      <x:top style="medium">
        <x:color rgb="FF000000"/>
      </x:top>
      <x:bottom style="medium">
        <x:color rgb="FF000000"/>
      </x:bottom>
    </x:border>
    <x:border>
      <x:left style="thin">
        <x:color rgb="FFB4C6E7"/>
      </x:left>
      <x:right style="thin">
        <x:color rgb="FFB4C6E7"/>
      </x:right>
      <x:top style="thin">
        <x:color rgb="FFB4C6E7"/>
      </x:top>
      <x:bottom style="thin">
        <x:color rgb="FFB4C6E7"/>
      </x:bottom>
    </x:border>
    <x:border>
      <x:left style="thin">
        <x:color rgb="FFD9E1F2"/>
      </x:left>
      <x:right style="thin">
        <x:color rgb="FFD9E1F2"/>
      </x:right>
      <x:top style="thin">
        <x:color rgb="FFD9E1F2"/>
      </x:top>
      <x:bottom style="thin">
        <x:color rgb="FFD9E1F2"/>
      </x:bottom>
    </x:border>
    <x:border>
      <x:left style="thin">
        <x:color rgb="FFE7E6E6"/>
      </x:left>
      <x:right style="thin">
        <x:color rgb="FFE7E6E6"/>
      </x:right>
      <x:top style="thin">
        <x:color rgb="FFE7E6E6"/>
      </x:top>
      <x:bottom style="double">
        <x:color rgb="FF17365D"/>
      </x:bottom>
    </x:border>
    <x:border>
      <x:left style="thin">
        <x:color rgb="FFD9E1F2"/>
      </x:left>
      <x:right style="thin">
        <x:color rgb="FFD9E1F2"/>
      </x:right>
      <x:top style="thin">
        <x:color rgb="FFD9E1F2"/>
      </x:top>
      <x:bottom style="double">
        <x:color rgb="FF17365D"/>
      </x:bottom>
    </x:border>
    <x:border>
      <x:top style="thin">
        <x:color rgb="FF000000"/>
      </x:top>
      <x:bottom style="double">
        <x:color rgb="FF000000"/>
      </x:bottom>
    </x:border>
    <x:border>
      <x:bottom style="double">
        <x:color rgb="FF000000"/>
      </x:bottom>
    </x:border>
    <x:border>
      <x:bottom style="thin">
        <x:color rgb="FFD9D9D9"/>
      </x:bottom>
    </x:border>
    <x:border>
      <x:top style="thin">
        <x:color rgb="FFD9D9D9"/>
      </x:top>
      <x:bottom style="thin">
        <x:color rgb="FFD9D9D9"/>
      </x:bottom>
    </x:border>
    <x:border>
      <x:top style="thin">
        <x:color rgb="FFD9D9D9"/>
      </x:top>
    </x:border>
  </x:borders>
  <x:cellStyleXfs count="1">
    <x:xf numFmtId="0" fontId="0" fillId="0" borderId="0"/>
  </x:cellStyleXfs>
  <x:cellXfs count="97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0"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4" fillId="0" borderId="0" xfId="0" applyNumberFormat="1" applyFont="1" applyFill="1" applyBorder="1"/>
    <x:xf numFmtId="0" fontId="0" fillId="0" borderId="0" xfId="0" applyNumberFormat="1" applyFont="1" applyFill="1" applyBorder="1" applyAlignment="1">
      <x:alignment wrapText="1"/>
    </x:xf>
    <x:xf numFmtId="0" fontId="0" fillId="6" borderId="0" xfId="0" applyNumberFormat="1" applyFont="1" applyFill="1" applyBorder="1"/>
    <x:xf numFmtId="0" fontId="6" fillId="6" borderId="0" xfId="0" applyNumberFormat="1" applyFont="1" applyFill="1" applyBorder="1"/>
    <x:xf numFmtId="0" fontId="7" fillId="2" borderId="0" xfId="0" applyNumberFormat="1" applyFont="1" applyFill="1" applyBorder="1"/>
    <x:xf numFmtId="0" fontId="7" fillId="2" borderId="0"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9" fillId="0" borderId="0" xfId="0" applyNumberFormat="1" applyFont="1" applyFill="1" applyBorder="1"/>
    <x:xf numFmtId="200" fontId="0" fillId="0" borderId="0" xfId="0" applyNumberFormat="1" applyFont="1" applyFill="1" applyBorder="1"/>
    <x:xf numFmtId="0" fontId="4" fillId="6" borderId="0" xfId="0" applyNumberFormat="1" applyFont="1" applyFill="1" applyBorder="1"/>
    <x:xf numFmtId="0" fontId="4" fillId="7" borderId="0" xfId="0" applyNumberFormat="1" applyFont="1" applyFill="1" applyBorder="1"/>
    <x:xf numFmtId="0" fontId="4" fillId="7" borderId="1" xfId="0" applyNumberFormat="1" applyFont="1" applyFill="1" applyBorder="1"/>
    <x:xf numFmtId="0" fontId="4" fillId="7" borderId="2" xfId="0" applyNumberFormat="1" applyFont="1" applyFill="1" applyBorder="1"/>
    <x:xf numFmtId="0" fontId="4" fillId="7" borderId="3" xfId="0" applyNumberFormat="1" applyFont="1" applyFill="1" applyBorder="1"/>
    <x:xf numFmtId="201" fontId="0"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0" fillId="8" borderId="0" xfId="0" applyNumberFormat="1" applyFont="1" applyFill="1" applyBorder="1"/>
    <x:xf numFmtId="200" fontId="10" fillId="0" borderId="0" xfId="0" applyNumberFormat="1" applyFont="1" applyFill="1" applyBorder="1"/>
    <x:xf numFmtId="201" fontId="10" fillId="0" borderId="0" xfId="0" applyNumberFormat="1" applyFont="1" applyFill="1" applyBorder="1"/>
    <x:xf numFmtId="0" fontId="10" fillId="4" borderId="0" xfId="0" applyNumberFormat="1" applyFont="1" applyFill="1" applyBorder="1"/>
    <x:xf numFmtId="202" fontId="10" fillId="4" borderId="0" xfId="0" applyNumberFormat="1" applyFont="1" applyFill="1" applyBorder="1"/>
    <x:xf numFmtId="203" fontId="10" fillId="4" borderId="0" xfId="0" applyNumberFormat="1" applyFont="1" applyFill="1" applyBorder="1"/>
    <x:xf numFmtId="204" fontId="10" fillId="4" borderId="0" xfId="0" applyNumberFormat="1" applyFont="1" applyFill="1" applyBorder="1"/>
    <x:xf numFmtId="0" fontId="5" fillId="5" borderId="1" xfId="0" applyNumberFormat="1" applyFont="1" applyFill="1" applyBorder="1"/>
    <x:xf numFmtId="0" fontId="5" fillId="5" borderId="2" xfId="0" applyNumberFormat="1" applyFont="1" applyFill="1" applyBorder="1"/>
    <x:xf numFmtId="0" fontId="5" fillId="5" borderId="3" xfId="0" applyNumberFormat="1" applyFont="1" applyFill="1" applyBorder="1"/>
    <x:xf numFmtId="0" fontId="5" fillId="5" borderId="1" xfId="0" applyNumberFormat="1" applyFont="1" applyFill="1" applyBorder="1" applyAlignment="1">
      <x:alignment wrapText="1"/>
    </x:xf>
    <x:xf numFmtId="0" fontId="5" fillId="5" borderId="2" xfId="0" applyNumberFormat="1" applyFont="1" applyFill="1" applyBorder="1" applyAlignment="1">
      <x:alignment wrapText="1"/>
    </x:xf>
    <x:xf numFmtId="0" fontId="5" fillId="5" borderId="3" xfId="0" applyNumberFormat="1" applyFont="1" applyFill="1" applyBorder="1" applyAlignment="1">
      <x:alignment wrapText="1"/>
    </x:xf>
    <x:xf numFmtId="0" fontId="13" fillId="0" borderId="0" xfId="0" applyNumberFormat="1" applyFont="1" applyFill="1" applyBorder="1"/>
    <x:xf numFmtId="0" fontId="4" fillId="0" borderId="0" xfId="0" applyNumberFormat="1" applyFont="1" applyFill="1" applyBorder="1" applyAlignment="1">
      <x:alignment wrapText="1"/>
    </x:xf>
    <x:xf numFmtId="0" fontId="13" fillId="0" borderId="0" xfId="0" applyNumberFormat="1" applyFont="1" applyFill="1" applyBorder="1" applyAlignment="1">
      <x:alignment wrapText="1"/>
    </x:xf>
    <x:xf numFmtId="0" fontId="3" fillId="4" borderId="0" xfId="0" applyNumberFormat="1" applyFont="1" applyFill="1" applyBorder="1"/>
    <x:xf numFmtId="0" fontId="5" fillId="5" borderId="0" xfId="0" applyNumberFormat="1" applyFont="1" applyFill="1" applyBorder="1" applyAlignment="1">
      <x:alignment wrapText="1"/>
    </x:xf>
    <x:xf numFmtId="0" fontId="14" fillId="0" borderId="0" xfId="0" applyNumberFormat="1" applyFont="1" applyFill="1" applyBorder="1"/>
    <x:xf numFmtId="0" fontId="14" fillId="0" borderId="0" xfId="0" applyNumberFormat="1" applyFont="1" applyFill="1" applyBorder="1" applyAlignment="1">
      <x:alignment vertical="center"/>
    </x:xf>
    <x:xf numFmtId="0" fontId="14" fillId="0" borderId="0" xfId="0" applyNumberFormat="1" applyFont="1" applyFill="1" applyBorder="1" applyAlignment="1">
      <x:alignment horizontal="left" vertical="center"/>
    </x:xf>
    <x:xf numFmtId="0" fontId="14" fillId="0" borderId="0" xfId="0" applyNumberFormat="1" applyFont="1" applyFill="1" applyBorder="1" applyAlignment="1">
      <x:alignment horizontal="right" vertical="center"/>
    </x:xf>
    <x:xf numFmtId="0" fontId="14" fillId="0" borderId="0" xfId="0" applyNumberFormat="1" applyFont="1" applyFill="1" applyBorder="1" applyAlignment="1">
      <x:alignment horizontal="center" vertical="center"/>
    </x:xf>
    <x:xf numFmtId="0" fontId="14" fillId="0" borderId="0" xfId="0" applyNumberFormat="1" applyFont="1" applyFill="1" applyBorder="1" applyAlignment="1">
      <x:alignment vertical="center" wrapText="1"/>
    </x:xf>
    <x:xf numFmtId="0" fontId="14" fillId="0"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x:xf>
    <x:xf numFmtId="0" fontId="14" fillId="9" borderId="0" xfId="0" applyNumberFormat="1" applyFont="1" applyFill="1" applyBorder="1" applyAlignment="1">
      <x:alignment horizontal="right" vertical="center"/>
    </x:xf>
    <x:xf numFmtId="0" fontId="14" fillId="9" borderId="0" xfId="0" applyNumberFormat="1" applyFont="1" applyFill="1" applyBorder="1" applyAlignment="1">
      <x:alignment horizontal="center" vertical="center"/>
    </x:xf>
    <x:xf numFmtId="0" fontId="14" fillId="9" borderId="0" xfId="0" applyNumberFormat="1" applyFont="1" applyFill="1" applyBorder="1" applyAlignment="1">
      <x:alignment horizontal="left" vertical="center" wrapText="1"/>
    </x:xf>
    <x:xf numFmtId="0" fontId="15" fillId="9" borderId="0" xfId="0" applyNumberFormat="1" applyFont="1" applyFill="1" applyBorder="1" applyAlignment="1">
      <x:alignment horizontal="left" vertical="center"/>
    </x:xf>
    <x:xf numFmtId="0" fontId="15" fillId="9" borderId="0" xfId="0" applyNumberFormat="1" applyFont="1" applyFill="1" applyBorder="1" applyAlignment="1">
      <x:alignment horizontal="right" vertical="center"/>
    </x:xf>
    <x:xf numFmtId="0" fontId="15" fillId="9" borderId="0" xfId="0" applyNumberFormat="1" applyFont="1" applyFill="1" applyBorder="1" applyAlignment="1">
      <x:alignment horizontal="center" vertical="center"/>
    </x:xf>
    <x:xf numFmtId="0" fontId="15" fillId="9" borderId="0" xfId="0" applyNumberFormat="1" applyFont="1" applyFill="1" applyBorder="1" applyAlignment="1">
      <x:alignment horizontal="left" vertical="center" wrapText="1"/>
    </x:xf>
    <x:xf numFmtId="0" fontId="14" fillId="10" borderId="0" xfId="0" applyNumberFormat="1" applyFont="1" applyFill="1" applyBorder="1" applyAlignment="1">
      <x:alignment horizontal="left" vertical="center"/>
    </x:xf>
    <x:xf numFmtId="0" fontId="14" fillId="10" borderId="0" xfId="0" applyNumberFormat="1" applyFont="1" applyFill="1" applyBorder="1" applyAlignment="1">
      <x:alignment horizontal="right" vertical="center"/>
    </x:xf>
    <x:xf numFmtId="0" fontId="14" fillId="10" borderId="0" xfId="0" applyNumberFormat="1" applyFont="1" applyFill="1" applyBorder="1" applyAlignment="1">
      <x:alignment horizontal="center" vertical="center"/>
    </x:xf>
    <x:xf numFmtId="0" fontId="14" fillId="10" borderId="0" xfId="0" applyNumberFormat="1" applyFont="1" applyFill="1" applyBorder="1" applyAlignment="1">
      <x:alignment horizontal="left" vertical="center" wrapText="1"/>
    </x:xf>
    <x:xf numFmtId="0" fontId="16" fillId="10" borderId="0" xfId="0" applyNumberFormat="1" applyFont="1" applyFill="1" applyBorder="1" applyAlignment="1">
      <x:alignment horizontal="left" vertical="center"/>
    </x:xf>
    <x:xf numFmtId="0" fontId="16" fillId="10" borderId="0" xfId="0" applyNumberFormat="1" applyFont="1" applyFill="1" applyBorder="1" applyAlignment="1">
      <x:alignment horizontal="right" vertical="center"/>
    </x:xf>
    <x:xf numFmtId="0" fontId="16" fillId="10" borderId="0" xfId="0" applyNumberFormat="1" applyFont="1" applyFill="1" applyBorder="1" applyAlignment="1">
      <x:alignment horizontal="center" vertical="center"/>
    </x:xf>
    <x:xf numFmtId="0" fontId="16" fillId="10" borderId="0" xfId="0" applyNumberFormat="1" applyFont="1" applyFill="1" applyBorder="1" applyAlignment="1">
      <x:alignment horizontal="left" vertical="center" wrapText="1"/>
    </x:xf>
    <x:xf numFmtId="0" fontId="17" fillId="0" borderId="0" xfId="0" applyNumberFormat="1" applyFont="1" applyFill="1" applyBorder="1" applyAlignment="1">
      <x:alignment horizontal="left" vertical="center"/>
    </x:xf>
    <x:xf numFmtId="0" fontId="14" fillId="11" borderId="0" xfId="0" applyNumberFormat="1" applyFont="1" applyFill="1" applyBorder="1" applyAlignment="1">
      <x:alignment horizontal="right" vertical="center"/>
    </x:xf>
    <x:xf numFmtId="0" fontId="18" fillId="11" borderId="0" xfId="0" applyNumberFormat="1" applyFont="1" applyFill="1" applyBorder="1" applyAlignment="1">
      <x:alignment horizontal="right" vertical="center"/>
    </x:xf>
    <x:xf numFmtId="0" fontId="19" fillId="9" borderId="0" xfId="0" applyNumberFormat="1" applyFont="1" applyFill="1" applyBorder="1" applyAlignment="1">
      <x:alignment horizontal="left" vertical="center"/>
    </x:xf>
    <x:xf numFmtId="0" fontId="19" fillId="9" borderId="0" xfId="0" applyNumberFormat="1" applyFont="1" applyFill="1" applyBorder="1" applyAlignment="1">
      <x:alignment horizontal="right" vertical="center"/>
    </x:xf>
    <x:xf numFmtId="0" fontId="19" fillId="9" borderId="0" xfId="0" applyNumberFormat="1" applyFont="1" applyFill="1" applyBorder="1" applyAlignment="1">
      <x:alignment horizontal="center" vertical="center"/>
    </x:xf>
    <x:xf numFmtId="0" fontId="19" fillId="9" borderId="0" xfId="0" applyNumberFormat="1" applyFont="1" applyFill="1" applyBorder="1" applyAlignment="1">
      <x:alignment horizontal="left" vertical="center" wrapText="1"/>
    </x:xf>
    <x:xf numFmtId="0" fontId="14" fillId="12" borderId="0" xfId="0" applyNumberFormat="1" applyFont="1" applyFill="1" applyBorder="1" applyAlignment="1">
      <x:alignment horizontal="left" vertical="center"/>
    </x:xf>
    <x:xf numFmtId="0" fontId="14" fillId="12" borderId="0" xfId="0" applyNumberFormat="1" applyFont="1" applyFill="1" applyBorder="1" applyAlignment="1">
      <x:alignment horizontal="right" vertical="center"/>
    </x:xf>
    <x:xf numFmtId="0" fontId="14" fillId="12" borderId="0" xfId="0" applyNumberFormat="1" applyFont="1" applyFill="1" applyBorder="1" applyAlignment="1">
      <x:alignment horizontal="center" vertical="center"/>
    </x:xf>
    <x:xf numFmtId="0" fontId="14" fillId="12" borderId="0" xfId="0" applyNumberFormat="1" applyFont="1" applyFill="1" applyBorder="1" applyAlignment="1">
      <x:alignment horizontal="left" vertical="center" wrapText="1"/>
    </x:xf>
    <x:xf numFmtId="0" fontId="20" fillId="12" borderId="0" xfId="0" applyNumberFormat="1" applyFont="1" applyFill="1" applyBorder="1" applyAlignment="1">
      <x:alignment horizontal="left" vertical="center"/>
    </x:xf>
    <x:xf numFmtId="0" fontId="20" fillId="12" borderId="0" xfId="0" applyNumberFormat="1" applyFont="1" applyFill="1" applyBorder="1" applyAlignment="1">
      <x:alignment horizontal="right" vertical="center"/>
    </x:xf>
    <x:xf numFmtId="0" fontId="20" fillId="12" borderId="0" xfId="0" applyNumberFormat="1" applyFont="1" applyFill="1" applyBorder="1" applyAlignment="1">
      <x:alignment horizontal="center" vertical="center"/>
    </x:xf>
    <x:xf numFmtId="0" fontId="20" fillId="12" borderId="0" xfId="0" applyNumberFormat="1" applyFont="1" applyFill="1" applyBorder="1" applyAlignment="1">
      <x:alignment horizontal="left" vertical="center" wrapText="1"/>
    </x:xf>
    <x:xf numFmtId="0" fontId="20" fillId="12" borderId="4" xfId="0" applyNumberFormat="1" applyFont="1" applyFill="1" applyBorder="1" applyAlignment="1">
      <x:alignment horizontal="left" vertical="center"/>
    </x:xf>
    <x:xf numFmtId="0" fontId="20" fillId="12" borderId="4" xfId="0" applyNumberFormat="1" applyFont="1" applyFill="1" applyBorder="1" applyAlignment="1">
      <x:alignment horizontal="right" vertical="center"/>
    </x:xf>
    <x:xf numFmtId="0" fontId="20" fillId="12" borderId="4" xfId="0" applyNumberFormat="1" applyFont="1" applyFill="1" applyBorder="1" applyAlignment="1">
      <x:alignment horizontal="center" vertical="center"/>
    </x:xf>
    <x:xf numFmtId="0" fontId="20" fillId="12" borderId="4" xfId="0" applyNumberFormat="1" applyFont="1" applyFill="1" applyBorder="1" applyAlignment="1">
      <x:alignment horizontal="left" vertical="center" wrapText="1"/>
    </x:xf>
    <x:xf numFmtId="205" fontId="20" fillId="12" borderId="4" xfId="0" applyNumberFormat="1" applyFont="1" applyFill="1" applyBorder="1" applyAlignment="1">
      <x:alignment horizontal="right" vertical="center"/>
    </x:xf>
    <x:xf numFmtId="206" fontId="14" fillId="0" borderId="0" xfId="0" applyNumberFormat="1" applyFont="1" applyFill="1" applyBorder="1" applyAlignment="1">
      <x:alignment horizontal="right" vertical="center"/>
    </x:xf>
    <x:xf numFmtId="203" fontId="14" fillId="0" borderId="0" xfId="0" applyNumberFormat="1" applyFont="1" applyFill="1" applyBorder="1" applyAlignment="1">
      <x:alignment horizontal="right" vertical="center"/>
    </x:xf>
    <x:xf numFmtId="207" fontId="14" fillId="0" borderId="0" xfId="0" applyNumberFormat="1" applyFont="1" applyFill="1" applyBorder="1" applyAlignment="1">
      <x:alignment horizontal="right" vertical="center"/>
    </x:xf>
    <x:xf numFmtId="202" fontId="14" fillId="0" borderId="0" xfId="0" applyNumberFormat="1" applyFont="1" applyFill="1" applyBorder="1" applyAlignment="1">
      <x:alignment horizontal="right" vertical="center"/>
    </x:xf>
    <x:xf numFmtId="208" fontId="14" fillId="0" borderId="0" xfId="0" applyNumberFormat="1" applyFont="1" applyFill="1" applyBorder="1" applyAlignment="1">
      <x:alignment horizontal="right" vertical="center"/>
    </x:xf>
    <x:xf numFmtId="206" fontId="17" fillId="0" borderId="0" xfId="0" applyNumberFormat="1" applyFont="1" applyFill="1" applyBorder="1" applyAlignment="1">
      <x:alignment horizontal="right" vertical="center"/>
    </x:xf>
    <x:xf numFmtId="0" fontId="17" fillId="0" borderId="5" xfId="0" applyNumberFormat="1" applyFont="1" applyFill="1" applyBorder="1" applyAlignment="1">
      <x:alignment horizontal="left" vertical="center"/>
    </x:xf>
    <x:xf numFmtId="206" fontId="17" fillId="0" borderId="5" xfId="0" applyNumberFormat="1" applyFont="1" applyFill="1" applyBorder="1" applyAlignment="1">
      <x:alignment horizontal="right" vertical="center"/>
    </x:xf>
    <x:xf numFmtId="202" fontId="17" fillId="0" borderId="0" xfId="0" applyNumberFormat="1" applyFont="1" applyFill="1" applyBorder="1" applyAlignment="1">
      <x:alignment horizontal="right" vertical="center"/>
    </x:xf>
    <x:xf numFmtId="202" fontId="17" fillId="0" borderId="5" xfId="0" applyNumberFormat="1" applyFont="1" applyFill="1" applyBorder="1" applyAlignment="1">
      <x:alignment horizontal="right" vertical="center"/>
    </x:xf>
    <x:xf numFmtId="209" fontId="14" fillId="0" borderId="0" xfId="0" applyNumberFormat="1" applyFont="1" applyFill="1" applyBorder="1" applyAlignment="1">
      <x:alignment horizontal="right" vertical="center"/>
    </x:xf>
    <x:xf numFmtId="0" fontId="21" fillId="0" borderId="0" xfId="0" applyNumberFormat="1" applyFont="1" applyFill="1" applyBorder="1" applyAlignment="1">
      <x:alignment horizontal="left" vertical="center"/>
    </x:xf>
    <x:xf numFmtId="0" fontId="21" fillId="0" borderId="0" xfId="0" applyNumberFormat="1" applyFont="1" applyFill="1" applyBorder="1" applyAlignment="1">
      <x:alignment horizontal="right" vertical="center"/>
    </x:xf>
    <x:xf numFmtId="0" fontId="21" fillId="0" borderId="0" xfId="0" applyNumberFormat="1" applyFont="1" applyFill="1" applyBorder="1" applyAlignment="1">
      <x:alignment horizontal="center" vertical="center"/>
    </x:xf>
    <x:xf numFmtId="0" fontId="21" fillId="0" borderId="0" xfId="0" applyNumberFormat="1" applyFont="1" applyFill="1" applyBorder="1" applyAlignment="1">
      <x:alignment horizontal="left" vertical="center" wrapText="1"/>
    </x:xf>
    <x:xf numFmtId="0" fontId="21" fillId="0" borderId="0" xfId="0" applyNumberFormat="1" applyFont="1" applyFill="1" applyBorder="1" applyAlignment="1">
      <x:alignment horizontal="right" vertical="center" wrapText="1"/>
    </x:xf>
    <x:xf numFmtId="0" fontId="21" fillId="0" borderId="0" xfId="0" applyNumberFormat="1" applyFont="1" applyFill="1" applyBorder="1" applyAlignment="1">
      <x:alignment horizontal="center" vertical="center" wrapText="1"/>
    </x:xf>
    <x:xf numFmtId="210" fontId="14" fillId="0" borderId="0" xfId="0" applyNumberFormat="1" applyFont="1" applyFill="1" applyBorder="1" applyAlignment="1">
      <x:alignment horizontal="right" vertical="center"/>
    </x:xf>
    <x:xf numFmtId="0" fontId="0" fillId="9" borderId="0" xfId="0" applyNumberFormat="1" applyFont="1" applyFill="1" applyBorder="1"/>
    <x:xf numFmtId="0" fontId="15" fillId="9" borderId="0" xfId="0" applyNumberFormat="1" applyFont="1" applyFill="1" applyBorder="1"/>
    <x:xf numFmtId="0" fontId="0" fillId="10" borderId="0" xfId="0" applyNumberFormat="1" applyFont="1" applyFill="1" applyBorder="1"/>
    <x:xf numFmtId="0" fontId="22" fillId="10" borderId="0" xfId="0" applyNumberFormat="1" applyFont="1" applyFill="1" applyBorder="1"/>
    <x:xf numFmtId="0" fontId="0" fillId="12" borderId="0" xfId="0" applyNumberFormat="1" applyFont="1" applyFill="1" applyBorder="1"/>
    <x:xf numFmtId="0" fontId="23" fillId="12" borderId="0" xfId="0" applyNumberFormat="1" applyFont="1" applyFill="1" applyBorder="1"/>
    <x:xf numFmtId="0" fontId="23" fillId="12" borderId="4" xfId="0" applyNumberFormat="1" applyFont="1" applyFill="1" applyBorder="1"/>
    <x:xf numFmtId="211" fontId="0" fillId="0" borderId="0" xfId="0" applyNumberFormat="1" applyFont="1" applyFill="1" applyBorder="1"/>
    <x:xf numFmtId="0" fontId="19" fillId="9" borderId="0" xfId="0" applyNumberFormat="1" applyFont="1" applyFill="1" applyBorder="1"/>
    <x:xf numFmtId="0" fontId="16" fillId="10" borderId="0" xfId="0" applyNumberFormat="1" applyFont="1" applyFill="1" applyBorder="1"/>
    <x:xf numFmtId="0" fontId="20" fillId="12" borderId="4" xfId="0" applyNumberFormat="1" applyFont="1" applyFill="1" applyBorder="1"/>
    <x:xf numFmtId="0" fontId="24" fillId="0" borderId="0" xfId="0" applyNumberFormat="1" applyFont="1" applyFill="1" applyBorder="1"/>
    <x:xf numFmtId="211" fontId="24" fillId="0" borderId="0" xfId="0" applyNumberFormat="1" applyFont="1" applyFill="1" applyBorder="1"/>
    <x:xf numFmtId="0" fontId="24" fillId="0" borderId="0" xfId="0" applyNumberFormat="1" applyFont="1" applyFill="1" applyBorder="1" applyAlignment="1">
      <x:alignment wrapText="1"/>
    </x:xf>
    <x:xf numFmtId="211" fontId="24" fillId="0" borderId="0" xfId="0" applyNumberFormat="1" applyFont="1" applyFill="1" applyBorder="1" applyAlignment="1">
      <x:alignment wrapText="1"/>
    </x:xf>
    <x:xf numFmtId="0" fontId="24" fillId="0" borderId="0" xfId="0" applyNumberFormat="1" applyFont="1" applyFill="1" applyBorder="1" applyAlignment="1">
      <x:alignment vertical="top" wrapText="1"/>
    </x:xf>
    <x:xf numFmtId="211" fontId="24" fillId="0" borderId="0" xfId="0" applyNumberFormat="1" applyFont="1" applyFill="1" applyBorder="1" applyAlignment="1">
      <x:alignment vertical="top" wrapText="1"/>
    </x:xf>
    <x:xf numFmtId="0" fontId="20" fillId="0" borderId="0" xfId="0" applyNumberFormat="1" applyFont="1" applyFill="1" applyBorder="1" applyAlignment="1">
      <x:alignment vertical="top" wrapText="1"/>
    </x:xf>
    <x:xf numFmtId="0" fontId="0" fillId="11" borderId="0" xfId="0" applyNumberFormat="1" applyFont="1" applyFill="1" applyBorder="1"/>
    <x:xf numFmtId="0" fontId="25" fillId="11" borderId="0" xfId="0" applyNumberFormat="1" applyFont="1" applyFill="1" applyBorder="1"/>
    <x:xf numFmtId="212" fontId="12" fillId="0" borderId="0" xfId="0" applyNumberFormat="1" applyFont="1" applyFill="1" applyBorder="1"/>
    <x:xf numFmtId="212" fontId="0" fillId="0" borderId="0" xfId="0" applyNumberFormat="1" applyFont="1" applyFill="1" applyBorder="1"/>
    <x:xf numFmtId="0" fontId="26" fillId="11" borderId="0" xfId="0" applyNumberFormat="1" applyFont="1" applyFill="1" applyBorder="1"/>
    <x:xf numFmtId="212" fontId="27" fillId="0" borderId="0" xfId="0" applyNumberFormat="1" applyFont="1" applyFill="1" applyBorder="1"/>
    <x:xf numFmtId="212" fontId="24" fillId="0" borderId="0" xfId="0" applyNumberFormat="1" applyFont="1" applyFill="1" applyBorder="1"/>
    <x:xf numFmtId="0" fontId="9" fillId="11" borderId="0" xfId="0" applyNumberFormat="1" applyFont="1" applyFill="1" applyBorder="1"/>
    <x:xf numFmtId="0" fontId="0" fillId="13" borderId="0" xfId="0" applyNumberFormat="1" applyFont="1" applyFill="1" applyBorder="1"/>
    <x:xf numFmtId="0" fontId="5" fillId="13" borderId="0" xfId="0" applyNumberFormat="1" applyFont="1" applyFill="1" applyBorder="1"/>
    <x:xf numFmtId="0" fontId="5" fillId="13" borderId="0" xfId="0" applyNumberFormat="1" applyFont="1" applyFill="1" applyBorder="1" applyAlignment="1">
      <x:alignment vertical="center"/>
    </x:xf>
    <x:xf numFmtId="0" fontId="0" fillId="14" borderId="0" xfId="0" applyNumberFormat="1" applyFont="1" applyFill="1" applyBorder="1"/>
    <x:xf numFmtId="0" fontId="5" fillId="14" borderId="0" xfId="0" applyNumberFormat="1" applyFont="1" applyFill="1" applyBorder="1"/>
    <x:xf numFmtId="0" fontId="5" fillId="14" borderId="0" xfId="0" applyNumberFormat="1" applyFont="1" applyFill="1" applyBorder="1" applyAlignment="1">
      <x:alignment wrapText="1"/>
    </x:xf>
    <x:xf numFmtId="0" fontId="5" fillId="14" borderId="0" xfId="0" applyNumberFormat="1" applyFont="1" applyFill="1" applyBorder="1" applyAlignment="1">
      <x:alignment horizontal="center" wrapText="1"/>
    </x:xf>
    <x:xf numFmtId="0" fontId="5" fillId="14" borderId="0" xfId="0" applyNumberFormat="1" applyFont="1" applyFill="1" applyBorder="1" applyAlignment="1">
      <x:alignment horizontal="center" vertical="center" wrapText="1"/>
    </x:xf>
    <x:xf numFmtId="0" fontId="28" fillId="0" borderId="0" xfId="0" applyNumberFormat="1" applyFont="1" applyFill="1" applyBorder="1"/>
    <x:xf numFmtId="0" fontId="28" fillId="0" borderId="6" xfId="0" applyNumberFormat="1" applyFont="1" applyFill="1" applyBorder="1"/>
    <x:xf numFmtId="0" fontId="28" fillId="0" borderId="7" xfId="0" applyNumberFormat="1" applyFont="1" applyFill="1" applyBorder="1"/>
    <x:xf numFmtId="0" fontId="28" fillId="0" borderId="8" xfId="0" applyNumberFormat="1" applyFont="1" applyFill="1" applyBorder="1"/>
    <x:xf numFmtId="0" fontId="28" fillId="0" borderId="9" xfId="0" applyNumberFormat="1" applyFont="1" applyFill="1" applyBorder="1"/>
    <x:xf numFmtId="0" fontId="28" fillId="0" borderId="10" xfId="0" applyNumberFormat="1" applyFont="1" applyFill="1" applyBorder="1"/>
    <x:xf numFmtId="0" fontId="28" fillId="0" borderId="11" xfId="0" applyNumberFormat="1" applyFont="1" applyFill="1" applyBorder="1"/>
    <x:xf numFmtId="0" fontId="28" fillId="0" borderId="12" xfId="0" applyNumberFormat="1" applyFont="1" applyFill="1" applyBorder="1"/>
    <x:xf numFmtId="0" fontId="28" fillId="0" borderId="13" xfId="0" applyNumberFormat="1" applyFont="1" applyFill="1" applyBorder="1"/>
    <x:xf numFmtId="0" fontId="28" fillId="0" borderId="14" xfId="0" applyNumberFormat="1" applyFont="1" applyFill="1" applyBorder="1"/>
    <x:xf numFmtId="0" fontId="28" fillId="0" borderId="6" xfId="0" applyNumberFormat="1" applyFont="1" applyFill="1" applyBorder="1" applyAlignment="1">
      <x:alignment vertical="center"/>
    </x:xf>
    <x:xf numFmtId="0" fontId="28" fillId="0" borderId="7" xfId="0" applyNumberFormat="1" applyFont="1" applyFill="1" applyBorder="1" applyAlignment="1">
      <x:alignment vertical="center"/>
    </x:xf>
    <x:xf numFmtId="0" fontId="28" fillId="0" borderId="8" xfId="0" applyNumberFormat="1" applyFont="1" applyFill="1" applyBorder="1" applyAlignment="1">
      <x:alignment vertical="center"/>
    </x:xf>
    <x:xf numFmtId="0" fontId="28" fillId="0" borderId="9" xfId="0" applyNumberFormat="1" applyFont="1" applyFill="1" applyBorder="1" applyAlignment="1">
      <x:alignment vertical="center"/>
    </x:xf>
    <x:xf numFmtId="0" fontId="28" fillId="0" borderId="10" xfId="0" applyNumberFormat="1" applyFont="1" applyFill="1" applyBorder="1" applyAlignment="1">
      <x:alignment vertical="center"/>
    </x:xf>
    <x:xf numFmtId="0" fontId="28" fillId="0" borderId="11" xfId="0" applyNumberFormat="1" applyFont="1" applyFill="1" applyBorder="1" applyAlignment="1">
      <x:alignment vertical="center"/>
    </x:xf>
    <x:xf numFmtId="0" fontId="28" fillId="0" borderId="12" xfId="0" applyNumberFormat="1" applyFont="1" applyFill="1" applyBorder="1" applyAlignment="1">
      <x:alignment vertical="center"/>
    </x:xf>
    <x:xf numFmtId="0" fontId="28" fillId="0" borderId="13" xfId="0" applyNumberFormat="1" applyFont="1" applyFill="1" applyBorder="1" applyAlignment="1">
      <x:alignment vertical="center"/>
    </x:xf>
    <x:xf numFmtId="0" fontId="28" fillId="0" borderId="14" xfId="0" applyNumberFormat="1" applyFont="1" applyFill="1" applyBorder="1" applyAlignment="1">
      <x:alignment vertical="center"/>
    </x:xf>
    <x:xf numFmtId="0" fontId="28" fillId="15" borderId="7" xfId="0" applyNumberFormat="1" applyFont="1" applyFill="1" applyBorder="1" applyAlignment="1">
      <x:alignment vertical="center"/>
    </x:xf>
    <x:xf numFmtId="0" fontId="28" fillId="15" borderId="10" xfId="0" applyNumberFormat="1" applyFont="1" applyFill="1" applyBorder="1" applyAlignment="1">
      <x:alignment vertical="center"/>
    </x:xf>
    <x:xf numFmtId="0" fontId="28" fillId="15" borderId="13" xfId="0" applyNumberFormat="1" applyFont="1" applyFill="1" applyBorder="1" applyAlignment="1">
      <x:alignment vertical="center"/>
    </x:xf>
    <x:xf numFmtId="0" fontId="10" fillId="15" borderId="7" xfId="0" applyNumberFormat="1" applyFont="1" applyFill="1" applyBorder="1" applyAlignment="1">
      <x:alignment vertical="center"/>
    </x:xf>
    <x:xf numFmtId="0" fontId="10" fillId="15" borderId="10" xfId="0" applyNumberFormat="1" applyFont="1" applyFill="1" applyBorder="1" applyAlignment="1">
      <x:alignment vertical="center"/>
    </x:xf>
    <x:xf numFmtId="0" fontId="10" fillId="15" borderId="13" xfId="0" applyNumberFormat="1" applyFont="1" applyFill="1" applyBorder="1" applyAlignment="1">
      <x:alignment vertical="center"/>
    </x:xf>
    <x:xf numFmtId="0" fontId="10" fillId="15" borderId="7" xfId="0" applyNumberFormat="1" applyFont="1" applyFill="1" applyBorder="1" applyAlignment="1">
      <x:alignment horizontal="right" vertical="center"/>
    </x:xf>
    <x:xf numFmtId="0" fontId="10" fillId="15" borderId="10" xfId="0" applyNumberFormat="1" applyFont="1" applyFill="1" applyBorder="1" applyAlignment="1">
      <x:alignment horizontal="right" vertical="center"/>
    </x:xf>
    <x:xf numFmtId="0" fontId="10" fillId="15" borderId="13" xfId="0" applyNumberFormat="1" applyFont="1" applyFill="1" applyBorder="1" applyAlignment="1">
      <x:alignment horizontal="right" vertical="center"/>
    </x:xf>
    <x:xf numFmtId="213" fontId="10" fillId="15" borderId="7" xfId="0" applyNumberFormat="1" applyFont="1" applyFill="1" applyBorder="1" applyAlignment="1">
      <x:alignment horizontal="right" vertical="center"/>
    </x:xf>
    <x:xf numFmtId="213" fontId="10" fillId="15" borderId="10" xfId="0" applyNumberFormat="1" applyFont="1" applyFill="1" applyBorder="1" applyAlignment="1">
      <x:alignment horizontal="right" vertical="center"/>
    </x:xf>
    <x:xf numFmtId="213" fontId="10" fillId="15" borderId="13" xfId="0" applyNumberFormat="1" applyFont="1" applyFill="1" applyBorder="1" applyAlignment="1">
      <x:alignment horizontal="right" vertical="center"/>
    </x:xf>
    <x:xf numFmtId="214" fontId="10" fillId="15" borderId="10" xfId="0" applyNumberFormat="1" applyFont="1" applyFill="1" applyBorder="1" applyAlignment="1">
      <x:alignment horizontal="right" vertical="center"/>
    </x:xf>
    <x:xf numFmtId="0" fontId="1" fillId="2" borderId="0" xfId="0" applyNumberFormat="1" applyFont="1" applyFill="1" applyBorder="1" applyAlignment="1">
      <x:alignment wrapText="1"/>
    </x:xf>
    <x:xf numFmtId="0" fontId="1" fillId="13" borderId="0" xfId="0" applyNumberFormat="1" applyFont="1" applyFill="1" applyBorder="1"/>
    <x:xf numFmtId="0" fontId="1" fillId="13" borderId="0" xfId="0" applyNumberFormat="1" applyFont="1" applyFill="1" applyBorder="1" applyAlignment="1">
      <x:alignment vertical="center"/>
    </x:xf>
    <x:xf numFmtId="0" fontId="0" fillId="16" borderId="0" xfId="0" applyNumberFormat="1" applyFont="1" applyFill="1" applyBorder="1"/>
    <x:xf numFmtId="0" fontId="29" fillId="16" borderId="0" xfId="0" applyNumberFormat="1" applyFont="1" applyFill="1" applyBorder="1"/>
    <x:xf numFmtId="0" fontId="0" fillId="17" borderId="0" xfId="0" applyNumberFormat="1" applyFont="1" applyFill="1" applyBorder="1"/>
    <x:xf numFmtId="0" fontId="30" fillId="17" borderId="0"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12" fillId="0" borderId="7" xfId="0" applyNumberFormat="1" applyFont="1" applyFill="1" applyBorder="1"/>
    <x:xf numFmtId="0" fontId="12" fillId="0" borderId="8" xfId="0" applyNumberFormat="1" applyFont="1" applyFill="1" applyBorder="1"/>
    <x:xf numFmtId="0" fontId="12" fillId="0" borderId="10" xfId="0" applyNumberFormat="1" applyFont="1" applyFill="1" applyBorder="1"/>
    <x:xf numFmtId="0" fontId="12" fillId="0" borderId="11" xfId="0" applyNumberFormat="1" applyFont="1" applyFill="1" applyBorder="1"/>
    <x:xf numFmtId="0" fontId="12" fillId="0" borderId="13" xfId="0" applyNumberFormat="1" applyFont="1" applyFill="1" applyBorder="1"/>
    <x:xf numFmtId="0" fontId="12" fillId="0" borderId="14" xfId="0" applyNumberFormat="1" applyFont="1" applyFill="1" applyBorder="1"/>
    <x:xf numFmtId="213" fontId="12" fillId="0" borderId="7" xfId="0" applyNumberFormat="1" applyFont="1" applyFill="1" applyBorder="1"/>
    <x:xf numFmtId="213" fontId="12" fillId="0" borderId="10" xfId="0" applyNumberFormat="1" applyFont="1" applyFill="1" applyBorder="1"/>
    <x:xf numFmtId="213" fontId="12" fillId="0" borderId="13" xfId="0" applyNumberFormat="1" applyFont="1" applyFill="1" applyBorder="1"/>
    <x:xf numFmtId="0" fontId="12" fillId="0" borderId="8" xfId="0" applyNumberFormat="1" applyFont="1" applyFill="1" applyBorder="1" applyAlignment="1">
      <x:alignment horizontal="center"/>
    </x:xf>
    <x:xf numFmtId="0" fontId="12" fillId="0" borderId="11" xfId="0" applyNumberFormat="1" applyFont="1" applyFill="1" applyBorder="1" applyAlignment="1">
      <x:alignment horizontal="center"/>
    </x:xf>
    <x:xf numFmtId="0" fontId="12" fillId="0" borderId="14" xfId="0" applyNumberFormat="1" applyFont="1" applyFill="1" applyBorder="1" applyAlignment="1">
      <x:alignment horizontal="center"/>
    </x:xf>
    <x:xf numFmtId="0" fontId="0" fillId="15" borderId="0" xfId="0" applyNumberFormat="1" applyFont="1" applyFill="1" applyBorder="1"/>
    <x:xf numFmtId="0" fontId="29" fillId="15" borderId="0" xfId="0" applyNumberFormat="1" applyFont="1" applyFill="1" applyBorder="1"/>
    <x:xf numFmtId="0" fontId="29" fillId="15" borderId="0" xfId="0" applyNumberFormat="1" applyFont="1" applyFill="1" applyBorder="1" applyAlignment="1">
      <x:alignment wrapText="1"/>
    </x:xf>
    <x:xf numFmtId="0" fontId="29" fillId="15" borderId="0" xfId="0" applyNumberFormat="1" applyFont="1" applyFill="1" applyBorder="1" applyAlignment="1">
      <x:alignment vertical="center" wrapText="1"/>
    </x:xf>
    <x:xf numFmtId="215" fontId="0" fillId="0" borderId="0" xfId="0" applyNumberFormat="1" applyFont="1" applyFill="1" applyBorder="1"/>
    <x:xf numFmtId="209" fontId="0" fillId="0" borderId="0" xfId="0" applyNumberFormat="1" applyFont="1" applyFill="1" applyBorder="1"/>
    <x:xf numFmtId="214" fontId="0" fillId="0" borderId="0" xfId="0" applyNumberFormat="1" applyFont="1" applyFill="1" applyBorder="1"/>
    <x:xf numFmtId="213" fontId="0" fillId="0" borderId="0" xfId="0" applyNumberFormat="1" applyFont="1" applyFill="1" applyBorder="1"/>
    <x:xf numFmtId="215" fontId="12" fillId="0" borderId="0" xfId="0" applyNumberFormat="1" applyFont="1" applyFill="1" applyBorder="1"/>
    <x:xf numFmtId="213" fontId="12" fillId="0" borderId="0" xfId="0" applyNumberFormat="1" applyFont="1" applyFill="1" applyBorder="1"/>
    <x:xf numFmtId="209" fontId="12" fillId="0" borderId="0" xfId="0" applyNumberFormat="1" applyFont="1" applyFill="1" applyBorder="1"/>
    <x:xf numFmtId="214" fontId="12" fillId="0" borderId="0" xfId="0" applyNumberFormat="1" applyFont="1" applyFill="1" applyBorder="1"/>
    <x:xf numFmtId="0" fontId="9" fillId="13" borderId="0" xfId="0" applyNumberFormat="1" applyFont="1" applyFill="1" applyBorder="1" applyAlignment="1">
      <x:alignment vertical="center"/>
    </x:xf>
    <x:xf numFmtId="215" fontId="28" fillId="0" borderId="0" xfId="0" applyNumberFormat="1" applyFont="1" applyFill="1" applyBorder="1"/>
    <x:xf numFmtId="213" fontId="28" fillId="0" borderId="0" xfId="0" applyNumberFormat="1" applyFont="1" applyFill="1" applyBorder="1"/>
    <x:xf numFmtId="209" fontId="28" fillId="0" borderId="0" xfId="0" applyNumberFormat="1" applyFont="1" applyFill="1" applyBorder="1"/>
    <x:xf numFmtId="214" fontId="28" fillId="0" borderId="0" xfId="0" applyNumberFormat="1" applyFont="1" applyFill="1" applyBorder="1"/>
    <x:xf numFmtId="0" fontId="30" fillId="13" borderId="0" xfId="0" applyNumberFormat="1" applyFont="1" applyFill="1" applyBorder="1" applyAlignment="1">
      <x:alignment vertical="center"/>
    </x:xf>
    <x:xf numFmtId="0" fontId="5" fillId="14" borderId="6" xfId="0" applyNumberFormat="1" applyFont="1" applyFill="1" applyBorder="1" applyAlignment="1">
      <x:alignment horizontal="center" vertical="center" wrapText="1"/>
    </x:xf>
    <x:xf numFmtId="0" fontId="5" fillId="14" borderId="7" xfId="0" applyNumberFormat="1" applyFont="1" applyFill="1" applyBorder="1" applyAlignment="1">
      <x:alignment horizontal="center" vertical="center" wrapText="1"/>
    </x:xf>
    <x:xf numFmtId="0" fontId="5" fillId="14" borderId="8" xfId="0" applyNumberFormat="1" applyFont="1" applyFill="1" applyBorder="1" applyAlignment="1">
      <x:alignment horizontal="center" vertical="center" wrapText="1"/>
    </x:xf>
    <x:xf numFmtId="215" fontId="12" fillId="0" borderId="10" xfId="0" applyNumberFormat="1" applyFont="1" applyFill="1" applyBorder="1"/>
    <x:xf numFmtId="215" fontId="28" fillId="0" borderId="10" xfId="0" applyNumberFormat="1" applyFont="1" applyFill="1" applyBorder="1"/>
    <x:xf numFmtId="213" fontId="28" fillId="0" borderId="10" xfId="0" applyNumberFormat="1" applyFont="1" applyFill="1" applyBorder="1"/>
    <x:xf numFmtId="209" fontId="12" fillId="0" borderId="10" xfId="0" applyNumberFormat="1" applyFont="1" applyFill="1" applyBorder="1"/>
    <x:xf numFmtId="209" fontId="28" fillId="0" borderId="10" xfId="0" applyNumberFormat="1" applyFont="1" applyFill="1" applyBorder="1"/>
    <x:xf numFmtId="214" fontId="12" fillId="0" borderId="10" xfId="0" applyNumberFormat="1" applyFont="1" applyFill="1" applyBorder="1"/>
    <x:xf numFmtId="214" fontId="28" fillId="0" borderId="10" xfId="0" applyNumberFormat="1" applyFont="1" applyFill="1" applyBorder="1"/>
    <x:xf numFmtId="0" fontId="5" fillId="13" borderId="9" xfId="0" applyNumberFormat="1" applyFont="1" applyFill="1" applyBorder="1" applyAlignment="1">
      <x:alignment vertical="center"/>
    </x:xf>
    <x:xf numFmtId="0" fontId="9" fillId="13" borderId="10" xfId="0" applyNumberFormat="1" applyFont="1" applyFill="1" applyBorder="1" applyAlignment="1">
      <x:alignment vertical="center"/>
    </x:xf>
    <x:xf numFmtId="0" fontId="30" fillId="13" borderId="10" xfId="0" applyNumberFormat="1" applyFont="1" applyFill="1" applyBorder="1" applyAlignment="1">
      <x:alignment vertical="center"/>
    </x:xf>
    <x:xf numFmtId="0" fontId="5" fillId="13" borderId="11" xfId="0" applyNumberFormat="1" applyFont="1" applyFill="1" applyBorder="1" applyAlignment="1">
      <x:alignment vertical="center"/>
    </x:xf>
    <x:xf numFmtId="213" fontId="28" fillId="0" borderId="13" xfId="0" applyNumberFormat="1" applyFont="1" applyFill="1" applyBorder="1"/>
    <x:xf numFmtId="0" fontId="1" fillId="13" borderId="0" xfId="0" applyNumberFormat="1" applyFont="1" applyFill="1" applyBorder="1" applyAlignment="1">
      <x:alignment vertical="center" wrapText="1"/>
    </x:xf>
    <x:xf numFmtId="0" fontId="30" fillId="13" borderId="9" xfId="0" applyNumberFormat="1" applyFont="1" applyFill="1" applyBorder="1" applyAlignment="1">
      <x:alignment vertical="center"/>
    </x:xf>
    <x:xf numFmtId="0" fontId="30" fillId="0" borderId="9" xfId="0" applyNumberFormat="1" applyFont="1" applyFill="1" applyBorder="1"/>
    <x:xf numFmtId="215" fontId="30" fillId="0" borderId="10" xfId="0" applyNumberFormat="1" applyFont="1" applyFill="1" applyBorder="1"/>
    <x:xf numFmtId="213" fontId="30" fillId="0" borderId="10" xfId="0" applyNumberFormat="1" applyFont="1" applyFill="1" applyBorder="1"/>
    <x:xf numFmtId="0" fontId="30" fillId="0" borderId="12" xfId="0" applyNumberFormat="1" applyFont="1" applyFill="1" applyBorder="1"/>
    <x:xf numFmtId="213" fontId="30" fillId="0" borderId="13" xfId="0" applyNumberFormat="1" applyFont="1" applyFill="1" applyBorder="1"/>
    <x:xf numFmtId="216" fontId="0" fillId="0" borderId="7" xfId="0" applyNumberFormat="1" applyFont="1" applyFill="1" applyBorder="1"/>
    <x:xf numFmtId="216" fontId="0" fillId="0" borderId="10" xfId="0" applyNumberFormat="1" applyFont="1" applyFill="1" applyBorder="1"/>
    <x:xf numFmtId="216" fontId="0" fillId="0" borderId="13" xfId="0" applyNumberFormat="1" applyFont="1" applyFill="1" applyBorder="1"/>
    <x:xf numFmtId="200" fontId="0" fillId="0" borderId="7" xfId="0" applyNumberFormat="1" applyFont="1" applyFill="1" applyBorder="1"/>
    <x:xf numFmtId="200" fontId="0" fillId="0" borderId="10" xfId="0" applyNumberFormat="1" applyFont="1" applyFill="1" applyBorder="1"/>
    <x:xf numFmtId="200" fontId="0" fillId="0" borderId="13" xfId="0" applyNumberFormat="1" applyFont="1" applyFill="1" applyBorder="1"/>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20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20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200" fontId="0" fillId="0"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31" fillId="19" borderId="0" xfId="0" applyNumberFormat="1" applyFont="1" applyFill="1" applyBorder="1"/>
    <x:xf numFmtId="0" fontId="0" fillId="20" borderId="0" xfId="0" applyNumberFormat="1" applyFont="1" applyFill="1" applyBorder="1"/>
    <x:xf numFmtId="0" fontId="3" fillId="20" borderId="0" xfId="0" applyNumberFormat="1" applyFont="1" applyFill="1" applyBorder="1"/>
    <x:xf numFmtId="0" fontId="5" fillId="18" borderId="0" xfId="0" applyNumberFormat="1" applyFont="1" applyFill="1" applyBorder="1"/>
    <x:xf numFmtId="0" fontId="0" fillId="21" borderId="0" xfId="0" applyNumberFormat="1" applyFont="1" applyFill="1" applyBorder="1"/>
    <x:xf numFmtId="0" fontId="5" fillId="21" borderId="0" xfId="0" applyNumberFormat="1" applyFont="1" applyFill="1" applyBorder="1"/>
    <x:xf numFmtId="0" fontId="5" fillId="21" borderId="0" xfId="0" applyNumberFormat="1" applyFont="1" applyFill="1" applyBorder="1" applyAlignment="1">
      <x:alignment wrapText="1"/>
    </x:xf>
    <x:xf numFmtId="0" fontId="5" fillId="21" borderId="0" xfId="0" applyNumberFormat="1" applyFont="1" applyFill="1" applyBorder="1" applyAlignment="1">
      <x:alignment horizontal="center" wrapText="1"/>
    </x:xf>
    <x:xf numFmtId="0" fontId="0" fillId="22" borderId="0" xfId="0" applyNumberFormat="1" applyFont="1" applyFill="1" applyBorder="1"/>
    <x:xf numFmtId="0" fontId="10" fillId="22" borderId="0" xfId="0" applyNumberFormat="1" applyFont="1" applyFill="1" applyBorder="1"/>
    <x:xf numFmtId="0" fontId="11" fillId="22" borderId="0" xfId="0" applyNumberFormat="1" applyFont="1" applyFill="1" applyBorder="1"/>
    <x:xf numFmtId="0" fontId="0" fillId="23" borderId="0" xfId="0" applyNumberFormat="1" applyFont="1" applyFill="1" applyBorder="1"/>
    <x:xf numFmtId="0" fontId="3" fillId="23" borderId="0" xfId="0" applyNumberFormat="1" applyFont="1" applyFill="1" applyBorder="1"/>
    <x:xf numFmtId="0" fontId="5" fillId="21" borderId="6" xfId="0" applyNumberFormat="1" applyFont="1" applyFill="1" applyBorder="1" applyAlignment="1">
      <x:alignment horizontal="center" wrapText="1"/>
    </x:xf>
    <x:xf numFmtId="0" fontId="5" fillId="21" borderId="7" xfId="0" applyNumberFormat="1" applyFont="1" applyFill="1" applyBorder="1" applyAlignment="1">
      <x:alignment horizontal="center" wrapText="1"/>
    </x:xf>
    <x:xf numFmtId="0" fontId="5" fillId="21" borderId="8" xfId="0" applyNumberFormat="1" applyFont="1" applyFill="1" applyBorder="1" applyAlignment="1">
      <x:alignment horizontal="center" wrapText="1"/>
    </x:xf>
    <x:xf numFmtId="0" fontId="10" fillId="22" borderId="10" xfId="0" applyNumberFormat="1" applyFont="1" applyFill="1" applyBorder="1"/>
    <x:xf numFmtId="0" fontId="11" fillId="0" borderId="10" xfId="0" applyNumberFormat="1" applyFont="1" applyFill="1" applyBorder="1"/>
    <x:xf numFmtId="0" fontId="11" fillId="22" borderId="10" xfId="0" applyNumberFormat="1" applyFont="1" applyFill="1" applyBorder="1"/>
    <x:xf numFmtId="0" fontId="3" fillId="23" borderId="10" xfId="0" applyNumberFormat="1" applyFont="1" applyFill="1" applyBorder="1"/>
    <x:xf numFmtId="0" fontId="10" fillId="22" borderId="13" xfId="0" applyNumberFormat="1" applyFont="1" applyFill="1" applyBorder="1"/>
    <x:xf numFmtId="203" fontId="10" fillId="22" borderId="10" xfId="0" applyNumberFormat="1" applyFont="1" applyFill="1" applyBorder="1"/>
    <x:xf numFmtId="203" fontId="11" fillId="22" borderId="10" xfId="0" applyNumberFormat="1" applyFont="1" applyFill="1" applyBorder="1"/>
    <x:xf numFmtId="203" fontId="11" fillId="0" borderId="10" xfId="0" applyNumberFormat="1" applyFont="1" applyFill="1" applyBorder="1"/>
    <x:xf numFmtId="203" fontId="3" fillId="23" borderId="10" xfId="0" applyNumberFormat="1" applyFont="1" applyFill="1" applyBorder="1"/>
    <x:xf numFmtId="217" fontId="10" fillId="22" borderId="10" xfId="0" applyNumberFormat="1" applyFont="1" applyFill="1" applyBorder="1"/>
    <x:xf numFmtId="217" fontId="11" fillId="0" borderId="10" xfId="0" applyNumberFormat="1" applyFont="1" applyFill="1" applyBorder="1"/>
    <x:xf numFmtId="206" fontId="10" fillId="22" borderId="10" xfId="0" applyNumberFormat="1" applyFont="1" applyFill="1" applyBorder="1"/>
    <x:xf numFmtId="209" fontId="10" fillId="22" borderId="13" xfId="0" applyNumberFormat="1" applyFont="1" applyFill="1" applyBorder="1"/>
    <x:xf numFmtId="0" fontId="0" fillId="20" borderId="15" xfId="0" applyNumberFormat="1" applyFont="1" applyFill="1" applyBorder="1"/>
    <x:xf numFmtId="0" fontId="3" fillId="20" borderId="15" xfId="0" applyNumberFormat="1" applyFont="1" applyFill="1" applyBorder="1"/>
    <x:xf numFmtId="0" fontId="32" fillId="20" borderId="15" xfId="0" applyNumberFormat="1" applyFont="1" applyFill="1" applyBorder="1"/>
    <x:xf numFmtId="215" fontId="32" fillId="20" borderId="15" xfId="0" applyNumberFormat="1" applyFont="1" applyFill="1" applyBorder="1"/>
    <x:xf numFmtId="214" fontId="32" fillId="20" borderId="15" xfId="0" applyNumberFormat="1" applyFont="1" applyFill="1" applyBorder="1"/>
    <x:xf numFmtId="213" fontId="32" fillId="20" borderId="15" xfId="0" applyNumberFormat="1" applyFont="1" applyFill="1" applyBorder="1"/>
    <x:xf numFmtId="218" fontId="32" fillId="20" borderId="15" xfId="0" applyNumberFormat="1" applyFont="1" applyFill="1" applyBorder="1"/>
    <x:xf numFmtId="0" fontId="5" fillId="21" borderId="0" xfId="0" applyNumberFormat="1" applyFont="1" applyFill="1" applyBorder="1" applyAlignment="1">
      <x:alignment horizontal="center"/>
    </x:xf>
    <x:xf numFmtId="0" fontId="5" fillId="21" borderId="6" xfId="0" applyNumberFormat="1" applyFont="1" applyFill="1" applyBorder="1" applyAlignment="1">
      <x:alignment horizontal="center"/>
    </x:xf>
    <x:xf numFmtId="0" fontId="5" fillId="21" borderId="7" xfId="0" applyNumberFormat="1" applyFont="1" applyFill="1" applyBorder="1" applyAlignment="1">
      <x:alignment horizontal="center"/>
    </x:xf>
    <x:xf numFmtId="0" fontId="5" fillId="21" borderId="8" xfId="0" applyNumberFormat="1" applyFont="1" applyFill="1" applyBorder="1" applyAlignment="1">
      <x:alignment horizontal="center"/>
    </x:xf>
    <x:xf numFmtId="0" fontId="11" fillId="0" borderId="13" xfId="0" applyNumberFormat="1" applyFont="1" applyFill="1" applyBorder="1"/>
    <x:xf numFmtId="206" fontId="12" fillId="0" borderId="10" xfId="0" applyNumberFormat="1" applyFont="1" applyFill="1" applyBorder="1"/>
    <x:xf numFmtId="218" fontId="0" fillId="0" borderId="10" xfId="0" applyNumberFormat="1" applyFont="1" applyFill="1" applyBorder="1"/>
    <x:xf numFmtId="219" fontId="11" fillId="0" borderId="10" xfId="0" applyNumberFormat="1" applyFont="1" applyFill="1" applyBorder="1"/>
    <x:xf numFmtId="206" fontId="11" fillId="0" borderId="13" xfId="0" applyNumberFormat="1" applyFont="1" applyFill="1" applyBorder="1"/>
    <x:xf numFmtId="0" fontId="3" fillId="0" borderId="12" xfId="0" applyNumberFormat="1" applyFont="1" applyFill="1" applyBorder="1"/>
    <x:xf numFmtId="206" fontId="3" fillId="0" borderId="13" xfId="0" applyNumberFormat="1" applyFont="1" applyFill="1" applyBorder="1"/>
    <x:xf numFmtId="206" fontId="0" fillId="0" borderId="7" xfId="0" applyNumberFormat="1" applyFont="1" applyFill="1" applyBorder="1"/>
    <x:xf numFmtId="206" fontId="0" fillId="0" borderId="10" xfId="0" applyNumberFormat="1" applyFont="1" applyFill="1" applyBorder="1"/>
    <x:xf numFmtId="213" fontId="0" fillId="0" borderId="10" xfId="0" applyNumberFormat="1" applyFont="1" applyFill="1" applyBorder="1"/>
    <x:xf numFmtId="219" fontId="0" fillId="0" borderId="10" xfId="0" applyNumberFormat="1" applyFont="1" applyFill="1" applyBorder="1"/>
    <x:xf numFmtId="209" fontId="0" fillId="0" borderId="10" xfId="0" applyNumberFormat="1" applyFont="1" applyFill="1" applyBorder="1"/>
    <x:xf numFmtId="214" fontId="0" fillId="0" borderId="10" xfId="0" applyNumberFormat="1" applyFont="1" applyFill="1" applyBorder="1"/>
    <x:xf numFmtId="218" fontId="0" fillId="0" borderId="13" xfId="0" applyNumberFormat="1" applyFont="1" applyFill="1" applyBorder="1"/>
    <x:xf numFmtId="0" fontId="3" fillId="0" borderId="9" xfId="0" applyNumberFormat="1" applyFont="1" applyFill="1" applyBorder="1"/>
    <x:xf numFmtId="206" fontId="3" fillId="0" borderId="10" xfId="0" applyNumberFormat="1" applyFont="1" applyFill="1" applyBorder="1"/>
    <x:xf numFmtId="0" fontId="3" fillId="0" borderId="11" xfId="0" applyNumberFormat="1" applyFont="1" applyFill="1" applyBorder="1"/>
    <x:xf numFmtId="0" fontId="3" fillId="0" borderId="16" xfId="0" applyNumberFormat="1" applyFont="1" applyFill="1" applyBorder="1"/>
    <x:xf numFmtId="206" fontId="3" fillId="0" borderId="17" xfId="0" applyNumberFormat="1" applyFont="1" applyFill="1" applyBorder="1"/>
    <x:xf numFmtId="0" fontId="3" fillId="0" borderId="17" xfId="0" applyNumberFormat="1" applyFont="1" applyFill="1" applyBorder="1"/>
    <x:xf numFmtId="0" fontId="0" fillId="23" borderId="9" xfId="0" applyNumberFormat="1" applyFont="1" applyFill="1" applyBorder="1"/>
    <x:xf numFmtId="214" fontId="0" fillId="23" borderId="10" xfId="0" applyNumberFormat="1" applyFont="1" applyFill="1" applyBorder="1"/>
    <x:xf numFmtId="0" fontId="0" fillId="23" borderId="11" xfId="0" applyNumberFormat="1" applyFont="1" applyFill="1" applyBorder="1"/>
    <x:xf numFmtId="0" fontId="32" fillId="23" borderId="9" xfId="0" applyNumberFormat="1" applyFont="1" applyFill="1" applyBorder="1"/>
    <x:xf numFmtId="214" fontId="32" fillId="23" borderId="10" xfId="0" applyNumberFormat="1" applyFont="1" applyFill="1" applyBorder="1"/>
    <x:xf numFmtId="0" fontId="32" fillId="23" borderId="11" xfId="0" applyNumberFormat="1" applyFont="1" applyFill="1" applyBorder="1"/>
    <x:xf numFmtId="0" fontId="32" fillId="23" borderId="18" xfId="0" applyNumberFormat="1" applyFont="1" applyFill="1" applyBorder="1"/>
    <x:xf numFmtId="214" fontId="32" fillId="23" borderId="19" xfId="0" applyNumberFormat="1" applyFont="1" applyFill="1" applyBorder="1"/>
    <x:xf numFmtId="0" fontId="32" fillId="23" borderId="19" xfId="0" applyNumberFormat="1" applyFont="1" applyFill="1" applyBorder="1"/>
    <x:xf numFmtId="0" fontId="0" fillId="0" borderId="15" xfId="0" applyNumberFormat="1" applyFont="1" applyFill="1" applyBorder="1"/>
    <x:xf numFmtId="0" fontId="0" fillId="21" borderId="15" xfId="0" applyNumberFormat="1" applyFont="1" applyFill="1" applyBorder="1"/>
    <x:xf numFmtId="0" fontId="5" fillId="21" borderId="15" xfId="0" applyNumberFormat="1" applyFont="1" applyFill="1" applyBorder="1"/>
    <x:xf numFmtId="0" fontId="5" fillId="21" borderId="15" xfId="0" applyNumberFormat="1" applyFont="1" applyFill="1" applyBorder="1" applyAlignment="1">
      <x:alignment horizontal="center"/>
    </x:xf>
    <x:xf numFmtId="213" fontId="5" fillId="21" borderId="15" xfId="0" applyNumberFormat="1" applyFont="1" applyFill="1" applyBorder="1" applyAlignment="1">
      <x:alignment horizontal="center"/>
    </x:xf>
    <x:xf numFmtId="214" fontId="0" fillId="0" borderId="15" xfId="0" applyNumberFormat="1" applyFont="1" applyFill="1" applyBorder="1"/>
    <x:xf numFmtId="214" fontId="0" fillId="23" borderId="15" xfId="0" applyNumberFormat="1" applyFont="1" applyFill="1" applyBorder="1"/>
    <x:xf numFmtId="214" fontId="3" fillId="23" borderId="15" xfId="0" applyNumberFormat="1" applyFont="1" applyFill="1" applyBorder="1"/>
    <x:xf numFmtId="214" fontId="3" fillId="23" borderId="20" xfId="0" applyNumberFormat="1" applyFont="1" applyFill="1" applyBorder="1"/>
    <x:xf numFmtId="0" fontId="31" fillId="22" borderId="0" xfId="0" applyNumberFormat="1" applyFont="1" applyFill="1" applyBorder="1"/>
    <x:xf numFmtId="0" fontId="31" fillId="22" borderId="0" xfId="0" applyNumberFormat="1" applyFont="1" applyFill="1" applyBorder="1" applyAlignment="1">
      <x:alignment wrapText="1"/>
    </x:xf>
    <x:xf numFmtId="0" fontId="31" fillId="22" borderId="0" xfId="0" applyNumberFormat="1" applyFont="1" applyFill="1" applyBorder="1" applyAlignment="1">
      <x:alignment vertical="center" wrapText="1"/>
    </x:xf>
    <x:xf numFmtId="0" fontId="1" fillId="18" borderId="0" xfId="0" applyNumberFormat="1" applyFont="1" applyFill="1" applyBorder="1" applyAlignment="1">
      <x:alignment vertical="center" wrapText="1"/>
    </x:xf>
    <x:xf numFmtId="0" fontId="31" fillId="19" borderId="0" xfId="0" applyNumberFormat="1" applyFont="1" applyFill="1" applyBorder="1" applyAlignment="1">
      <x:alignment wrapText="1"/>
    </x:xf>
    <x:xf numFmtId="0" fontId="3" fillId="20" borderId="0" xfId="0" applyNumberFormat="1" applyFont="1" applyFill="1" applyBorder="1" applyAlignment="1">
      <x:alignment wrapText="1"/>
    </x:xf>
    <x:xf numFmtId="0" fontId="5" fillId="18" borderId="0" xfId="0" applyNumberFormat="1" applyFont="1" applyFill="1" applyBorder="1" applyAlignment="1">
      <x:alignment wrapText="1"/>
    </x:xf>
    <x:xf numFmtId="0" fontId="3" fillId="20" borderId="15" xfId="0" applyNumberFormat="1" applyFont="1" applyFill="1" applyBorder="1" applyAlignment="1">
      <x:alignment wrapText="1"/>
    </x:xf>
    <x:xf numFmtId="215" fontId="32" fillId="20" borderId="15" xfId="0" applyNumberFormat="1" applyFont="1" applyFill="1" applyBorder="1" applyAlignment="1">
      <x:alignment wrapText="1"/>
    </x:xf>
    <x:xf numFmtId="203" fontId="10" fillId="22" borderId="10" xfId="0" applyNumberFormat="1" applyFont="1" applyFill="1" applyBorder="1" applyAlignment="1">
      <x:alignment wrapText="1"/>
    </x:xf>
    <x:xf numFmtId="217" fontId="10" fillId="22" borderId="10" xfId="0" applyNumberFormat="1" applyFont="1" applyFill="1" applyBorder="1" applyAlignment="1">
      <x:alignment wrapText="1"/>
    </x:xf>
    <x:xf numFmtId="214" fontId="32" fillId="20" borderId="15" xfId="0" applyNumberFormat="1" applyFont="1" applyFill="1" applyBorder="1" applyAlignment="1">
      <x:alignment wrapText="1"/>
    </x:xf>
    <x:xf numFmtId="213" fontId="32" fillId="20" borderId="15" xfId="0" applyNumberFormat="1" applyFont="1" applyFill="1" applyBorder="1" applyAlignment="1">
      <x:alignment wrapText="1"/>
    </x:xf>
    <x:xf numFmtId="218" fontId="32" fillId="20" borderId="15" xfId="0" applyNumberFormat="1" applyFont="1" applyFill="1" applyBorder="1" applyAlignment="1">
      <x:alignment wrapText="1"/>
    </x:xf>
    <x:xf numFmtId="217" fontId="11" fillId="0" borderId="10" xfId="0" applyNumberFormat="1" applyFont="1" applyFill="1" applyBorder="1" applyAlignment="1">
      <x:alignment wrapText="1"/>
    </x:xf>
    <x:xf numFmtId="203" fontId="11" fillId="22" borderId="10" xfId="0" applyNumberFormat="1" applyFont="1" applyFill="1" applyBorder="1" applyAlignment="1">
      <x:alignment wrapText="1"/>
    </x:xf>
    <x:xf numFmtId="203" fontId="11" fillId="0" borderId="10" xfId="0" applyNumberFormat="1" applyFont="1" applyFill="1" applyBorder="1" applyAlignment="1">
      <x:alignment wrapText="1"/>
    </x:xf>
    <x:xf numFmtId="203" fontId="3" fillId="23" borderId="10" xfId="0" applyNumberFormat="1" applyFont="1" applyFill="1" applyBorder="1" applyAlignment="1">
      <x:alignment wrapText="1"/>
    </x:xf>
    <x:xf numFmtId="206" fontId="10" fillId="22" borderId="10" xfId="0" applyNumberFormat="1" applyFont="1" applyFill="1" applyBorder="1" applyAlignment="1">
      <x:alignment wrapText="1"/>
    </x:xf>
    <x:xf numFmtId="209" fontId="10" fillId="22" borderId="13" xfId="0" applyNumberFormat="1" applyFont="1" applyFill="1" applyBorder="1" applyAlignment="1">
      <x:alignment wrapText="1"/>
    </x:xf>
    <x:xf numFmtId="206" fontId="12" fillId="0" borderId="10" xfId="0" applyNumberFormat="1" applyFont="1" applyFill="1" applyBorder="1" applyAlignment="1">
      <x:alignment wrapText="1"/>
    </x:xf>
    <x:xf numFmtId="218" fontId="0" fillId="0" borderId="10" xfId="0" applyNumberFormat="1" applyFont="1" applyFill="1" applyBorder="1" applyAlignment="1">
      <x:alignment wrapText="1"/>
    </x:xf>
    <x:xf numFmtId="219" fontId="11" fillId="0" borderId="10" xfId="0" applyNumberFormat="1" applyFont="1" applyFill="1" applyBorder="1" applyAlignment="1">
      <x:alignment wrapText="1"/>
    </x:xf>
    <x:xf numFmtId="0" fontId="3" fillId="0" borderId="12" xfId="0" applyNumberFormat="1" applyFont="1" applyFill="1" applyBorder="1" applyAlignment="1">
      <x:alignment wrapText="1"/>
    </x:xf>
    <x:xf numFmtId="206" fontId="3" fillId="0" borderId="13" xfId="0" applyNumberFormat="1" applyFont="1" applyFill="1" applyBorder="1" applyAlignment="1">
      <x:alignment wrapText="1"/>
    </x:xf>
    <x:xf numFmtId="206" fontId="0" fillId="0" borderId="7" xfId="0" applyNumberFormat="1" applyFont="1" applyFill="1" applyBorder="1" applyAlignment="1">
      <x:alignment wrapText="1"/>
    </x:xf>
    <x:xf numFmtId="213" fontId="0" fillId="0" borderId="10" xfId="0" applyNumberFormat="1" applyFont="1" applyFill="1" applyBorder="1" applyAlignment="1">
      <x:alignment wrapText="1"/>
    </x:xf>
    <x:xf numFmtId="206" fontId="0" fillId="0" borderId="10" xfId="0" applyNumberFormat="1" applyFont="1" applyFill="1" applyBorder="1" applyAlignment="1">
      <x:alignment wrapText="1"/>
    </x:xf>
    <x:xf numFmtId="219" fontId="0" fillId="0" borderId="10" xfId="0" applyNumberFormat="1" applyFont="1" applyFill="1" applyBorder="1" applyAlignment="1">
      <x:alignment wrapText="1"/>
    </x:xf>
    <x:xf numFmtId="0" fontId="3" fillId="0" borderId="16" xfId="0" applyNumberFormat="1" applyFont="1" applyFill="1" applyBorder="1" applyAlignment="1">
      <x:alignment wrapText="1"/>
    </x:xf>
    <x:xf numFmtId="206" fontId="3" fillId="0" borderId="17" xfId="0" applyNumberFormat="1" applyFont="1" applyFill="1" applyBorder="1" applyAlignment="1">
      <x:alignment wrapText="1"/>
    </x:xf>
    <x:xf numFmtId="0" fontId="3" fillId="0" borderId="17" xfId="0" applyNumberFormat="1" applyFont="1" applyFill="1" applyBorder="1" applyAlignment="1">
      <x:alignment wrapText="1"/>
    </x:xf>
    <x:xf numFmtId="209" fontId="0" fillId="0" borderId="10" xfId="0" applyNumberFormat="1" applyFont="1" applyFill="1" applyBorder="1" applyAlignment="1">
      <x:alignment wrapText="1"/>
    </x:xf>
    <x:xf numFmtId="0" fontId="32" fillId="23" borderId="18" xfId="0" applyNumberFormat="1" applyFont="1" applyFill="1" applyBorder="1" applyAlignment="1">
      <x:alignment wrapText="1"/>
    </x:xf>
    <x:xf numFmtId="214" fontId="32" fillId="23" borderId="19" xfId="0" applyNumberFormat="1" applyFont="1" applyFill="1" applyBorder="1" applyAlignment="1">
      <x:alignment wrapText="1"/>
    </x:xf>
    <x:xf numFmtId="0" fontId="32" fillId="23" borderId="19" xfId="0" applyNumberFormat="1" applyFont="1" applyFill="1" applyBorder="1" applyAlignment="1">
      <x:alignment wrapText="1"/>
    </x:xf>
    <x:xf numFmtId="218" fontId="0" fillId="0" borderId="13" xfId="0" applyNumberFormat="1" applyFont="1" applyFill="1" applyBorder="1" applyAlignment="1">
      <x:alignment wrapText="1"/>
    </x:xf>
    <x:xf numFmtId="0" fontId="5" fillId="21" borderId="15" xfId="0" applyNumberFormat="1" applyFont="1" applyFill="1" applyBorder="1" applyAlignment="1">
      <x:alignment horizontal="center" wrapText="1"/>
    </x:xf>
    <x:xf numFmtId="213" fontId="5" fillId="21" borderId="15" xfId="0" applyNumberFormat="1" applyFont="1" applyFill="1" applyBorder="1" applyAlignment="1">
      <x:alignment horizontal="center" wrapText="1"/>
    </x:xf>
    <x:xf numFmtId="214" fontId="0" fillId="0" borderId="15" xfId="0" applyNumberFormat="1" applyFont="1" applyFill="1" applyBorder="1" applyAlignment="1">
      <x:alignment wrapText="1"/>
    </x:xf>
    <x:xf numFmtId="214" fontId="3" fillId="23" borderId="20" xfId="0" applyNumberFormat="1" applyFont="1" applyFill="1" applyBorder="1" applyAlignment="1">
      <x:alignment wrapText="1"/>
    </x:xf>
    <x:xf numFmtId="0" fontId="14" fillId="24" borderId="0" xfId="0" applyNumberFormat="1" applyFont="1" applyFill="1" applyBorder="1"/>
    <x:xf numFmtId="0" fontId="33" fillId="24" borderId="0" xfId="0" applyNumberFormat="1" applyFont="1" applyFill="1" applyBorder="1"/>
    <x:xf numFmtId="0" fontId="14" fillId="25" borderId="0" xfId="0" applyNumberFormat="1" applyFont="1" applyFill="1" applyBorder="1"/>
    <x:xf numFmtId="0" fontId="34" fillId="25" borderId="0" xfId="0" applyNumberFormat="1" applyFont="1" applyFill="1" applyBorder="1"/>
    <x:xf numFmtId="0" fontId="17" fillId="0" borderId="0" xfId="0" applyNumberFormat="1" applyFont="1" applyFill="1" applyBorder="1"/>
    <x:xf numFmtId="0" fontId="14" fillId="26" borderId="0" xfId="0" applyNumberFormat="1" applyFont="1" applyFill="1" applyBorder="1"/>
    <x:xf numFmtId="0" fontId="35" fillId="26" borderId="0" xfId="0" applyNumberFormat="1" applyFont="1" applyFill="1" applyBorder="1"/>
    <x:xf numFmtId="0" fontId="14" fillId="27" borderId="0" xfId="0" applyNumberFormat="1" applyFont="1" applyFill="1" applyBorder="1"/>
    <x:xf numFmtId="0" fontId="19" fillId="27" borderId="0" xfId="0" applyNumberFormat="1" applyFont="1" applyFill="1" applyBorder="1"/>
    <x:xf numFmtId="0" fontId="14" fillId="28" borderId="0" xfId="0" applyNumberFormat="1" applyFont="1" applyFill="1" applyBorder="1"/>
    <x:xf numFmtId="0" fontId="36" fillId="28" borderId="0" xfId="0" applyNumberFormat="1" applyFont="1" applyFill="1" applyBorder="1"/>
    <x:xf numFmtId="0" fontId="36" fillId="28" borderId="0" xfId="0" applyNumberFormat="1" applyFont="1" applyFill="1" applyBorder="1" applyAlignment="1">
      <x:alignment wrapText="1"/>
    </x:xf>
    <x:xf numFmtId="0" fontId="36" fillId="28" borderId="21" xfId="0" applyNumberFormat="1" applyFont="1" applyFill="1" applyBorder="1" applyAlignment="1">
      <x:alignment wrapText="1"/>
    </x:xf>
    <x:xf numFmtId="0" fontId="14" fillId="0" borderId="22" xfId="0" applyNumberFormat="1" applyFont="1" applyFill="1" applyBorder="1"/>
    <x:xf numFmtId="0" fontId="37" fillId="0" borderId="22" xfId="0" applyNumberFormat="1" applyFont="1" applyFill="1" applyBorder="1"/>
    <x:xf numFmtId="0" fontId="38" fillId="0" borderId="22" xfId="0" applyNumberFormat="1" applyFont="1" applyFill="1" applyBorder="1"/>
    <x:xf numFmtId="0" fontId="14" fillId="29" borderId="22" xfId="0" applyNumberFormat="1" applyFont="1" applyFill="1" applyBorder="1"/>
    <x:xf numFmtId="0" fontId="17" fillId="29" borderId="22" xfId="0" applyNumberFormat="1" applyFont="1" applyFill="1" applyBorder="1"/>
    <x:xf numFmtId="0" fontId="27" fillId="0" borderId="0" xfId="0" applyNumberFormat="1" applyFont="1" applyFill="1" applyBorder="1"/>
    <x:xf numFmtId="0" fontId="36" fillId="28" borderId="22" xfId="0" applyNumberFormat="1" applyFont="1" applyFill="1" applyBorder="1" applyAlignment="1">
      <x:alignment wrapText="1"/>
    </x:xf>
    <x:xf numFmtId="0" fontId="27" fillId="0" borderId="22" xfId="0" applyNumberFormat="1" applyFont="1" applyFill="1" applyBorder="1"/>
    <x:xf numFmtId="0" fontId="14" fillId="0" borderId="21" xfId="0" applyNumberFormat="1" applyFont="1" applyFill="1" applyBorder="1"/>
    <x:xf numFmtId="0" fontId="14" fillId="29" borderId="21" xfId="0" applyNumberFormat="1" applyFont="1" applyFill="1" applyBorder="1"/>
    <x:xf numFmtId="0" fontId="17" fillId="0" borderId="21" xfId="0" applyNumberFormat="1" applyFont="1" applyFill="1" applyBorder="1"/>
    <x:xf numFmtId="0" fontId="17" fillId="29" borderId="21" xfId="0" applyNumberFormat="1" applyFont="1" applyFill="1" applyBorder="1"/>
    <x:xf numFmtId="0" fontId="14" fillId="0" borderId="0" xfId="0" applyNumberFormat="1" applyFont="1" applyFill="1" applyBorder="1" applyAlignment="1">
      <x:alignment wrapText="1"/>
    </x:xf>
    <x:xf numFmtId="0" fontId="14" fillId="30" borderId="0" xfId="0" applyNumberFormat="1" applyFont="1" applyFill="1" applyBorder="1" applyAlignment="1">
      <x:alignment wrapText="1"/>
    </x:xf>
    <x:xf numFmtId="0" fontId="39" fillId="30" borderId="0" xfId="0" applyNumberFormat="1" applyFont="1" applyFill="1" applyBorder="1" applyAlignment="1">
      <x:alignment wrapText="1"/>
    </x:xf>
    <x:xf numFmtId="220" fontId="37" fillId="0" borderId="22" xfId="0" applyNumberFormat="1" applyFont="1" applyFill="1" applyBorder="1"/>
    <x:xf numFmtId="213" fontId="37" fillId="0" borderId="22" xfId="0" applyNumberFormat="1" applyFont="1" applyFill="1" applyBorder="1"/>
    <x:xf numFmtId="218" fontId="37" fillId="0" borderId="22" xfId="0" applyNumberFormat="1" applyFont="1" applyFill="1" applyBorder="1"/>
    <x:xf numFmtId="218" fontId="14" fillId="0" borderId="0" xfId="0" applyNumberFormat="1" applyFont="1" applyFill="1" applyBorder="1"/>
    <x:xf numFmtId="218" fontId="36" fillId="28" borderId="21" xfId="0" applyNumberFormat="1" applyFont="1" applyFill="1" applyBorder="1" applyAlignment="1">
      <x:alignment wrapText="1"/>
    </x:xf>
    <x:xf numFmtId="218" fontId="14" fillId="0" borderId="22" xfId="0" applyNumberFormat="1" applyFont="1" applyFill="1" applyBorder="1"/>
    <x:xf numFmtId="218" fontId="17" fillId="29" borderId="22" xfId="0" applyNumberFormat="1" applyFont="1" applyFill="1" applyBorder="1"/>
    <x:xf numFmtId="221" fontId="27" fillId="0" borderId="22" xfId="0" applyNumberFormat="1" applyFont="1" applyFill="1" applyBorder="1"/>
    <x:xf numFmtId="214" fontId="27" fillId="0" borderId="22" xfId="0" applyNumberFormat="1" applyFont="1" applyFill="1" applyBorder="1"/>
    <x:xf numFmtId="214" fontId="17" fillId="29" borderId="22" xfId="0" applyNumberFormat="1" applyFont="1" applyFill="1" applyBorder="1"/>
    <x:xf numFmtId="213" fontId="17" fillId="29" borderId="22" xfId="0" applyNumberFormat="1" applyFont="1" applyFill="1" applyBorder="1"/>
    <x:xf numFmtId="221" fontId="14" fillId="0" borderId="21" xfId="0" applyNumberFormat="1" applyFont="1" applyFill="1" applyBorder="1"/>
    <x:xf numFmtId="214" fontId="14" fillId="0" borderId="21" xfId="0" applyNumberFormat="1" applyFont="1" applyFill="1" applyBorder="1"/>
    <x:xf numFmtId="218" fontId="14" fillId="0" borderId="21" xfId="0" applyNumberFormat="1" applyFont="1" applyFill="1" applyBorder="1"/>
    <x:xf numFmtId="214" fontId="17" fillId="0" borderId="21" xfId="0" applyNumberFormat="1" applyFont="1" applyFill="1" applyBorder="1"/>
    <x:xf numFmtId="214" fontId="17" fillId="29" borderId="21" xfId="0" applyNumberFormat="1" applyFont="1" applyFill="1" applyBorder="1"/>
    <x:xf numFmtId="0" fontId="33" fillId="24" borderId="0" xfId="0" applyNumberFormat="1" applyFont="1" applyFill="1" applyBorder="1" applyAlignment="1">
      <x:alignment vertical="center"/>
    </x:xf>
    <x:xf numFmtId="0" fontId="34" fillId="25" borderId="0" xfId="0" applyNumberFormat="1" applyFont="1" applyFill="1" applyBorder="1" applyAlignment="1">
      <x:alignment vertical="center"/>
    </x:xf>
    <x:xf numFmtId="0" fontId="17" fillId="0" borderId="0" xfId="0" applyNumberFormat="1" applyFont="1" applyFill="1" applyBorder="1" applyAlignment="1">
      <x:alignment vertical="center"/>
    </x:xf>
    <x:xf numFmtId="0" fontId="35" fillId="26" borderId="0" xfId="0" applyNumberFormat="1" applyFont="1" applyFill="1" applyBorder="1" applyAlignment="1">
      <x:alignment vertical="center"/>
    </x:xf>
    <x:xf numFmtId="0" fontId="19" fillId="27" borderId="0" xfId="0" applyNumberFormat="1" applyFont="1" applyFill="1" applyBorder="1" applyAlignment="1">
      <x:alignment vertical="center"/>
    </x:xf>
    <x:xf numFmtId="0" fontId="36" fillId="28" borderId="21" xfId="0" applyNumberFormat="1" applyFont="1" applyFill="1" applyBorder="1" applyAlignment="1">
      <x:alignment vertical="center" wrapText="1"/>
    </x:xf>
    <x:xf numFmtId="0" fontId="38" fillId="0" borderId="22" xfId="0" applyNumberFormat="1" applyFont="1" applyFill="1" applyBorder="1" applyAlignment="1">
      <x:alignment vertical="center"/>
    </x:xf>
    <x:xf numFmtId="0" fontId="37" fillId="0" borderId="22" xfId="0" applyNumberFormat="1" applyFont="1" applyFill="1" applyBorder="1" applyAlignment="1">
      <x:alignment vertical="center"/>
    </x:xf>
    <x:xf numFmtId="220" fontId="37" fillId="0" borderId="22" xfId="0" applyNumberFormat="1" applyFont="1" applyFill="1" applyBorder="1" applyAlignment="1">
      <x:alignment vertical="center"/>
    </x:xf>
    <x:xf numFmtId="213" fontId="37" fillId="0" borderId="22" xfId="0" applyNumberFormat="1" applyFont="1" applyFill="1" applyBorder="1" applyAlignment="1">
      <x:alignment vertical="center"/>
    </x:xf>
    <x:xf numFmtId="218" fontId="37" fillId="0" borderId="22" xfId="0" applyNumberFormat="1" applyFont="1" applyFill="1" applyBorder="1" applyAlignment="1">
      <x:alignment vertical="center"/>
    </x:xf>
    <x:xf numFmtId="218" fontId="14" fillId="0" borderId="0" xfId="0" applyNumberFormat="1" applyFont="1" applyFill="1" applyBorder="1" applyAlignment="1">
      <x:alignment vertical="center"/>
    </x:xf>
    <x:xf numFmtId="218" fontId="36" fillId="28" borderId="21" xfId="0" applyNumberFormat="1" applyFont="1" applyFill="1" applyBorder="1" applyAlignment="1">
      <x:alignment vertical="center" wrapText="1"/>
    </x:xf>
    <x:xf numFmtId="0" fontId="14" fillId="0" borderId="22" xfId="0" applyNumberFormat="1" applyFont="1" applyFill="1" applyBorder="1" applyAlignment="1">
      <x:alignment vertical="center"/>
    </x:xf>
    <x:xf numFmtId="218" fontId="14" fillId="0" borderId="22" xfId="0" applyNumberFormat="1" applyFont="1" applyFill="1" applyBorder="1" applyAlignment="1">
      <x:alignment vertical="center"/>
    </x:xf>
    <x:xf numFmtId="0" fontId="17" fillId="29" borderId="22" xfId="0" applyNumberFormat="1" applyFont="1" applyFill="1" applyBorder="1" applyAlignment="1">
      <x:alignment vertical="center"/>
    </x:xf>
    <x:xf numFmtId="218" fontId="17" fillId="29" borderId="22" xfId="0" applyNumberFormat="1" applyFont="1" applyFill="1" applyBorder="1" applyAlignment="1">
      <x:alignment vertical="center"/>
    </x:xf>
    <x:xf numFmtId="0" fontId="36" fillId="28" borderId="22" xfId="0" applyNumberFormat="1" applyFont="1" applyFill="1" applyBorder="1" applyAlignment="1">
      <x:alignment vertical="center" wrapText="1"/>
    </x:xf>
    <x:xf numFmtId="214" fontId="17" fillId="29" borderId="22" xfId="0" applyNumberFormat="1" applyFont="1" applyFill="1" applyBorder="1" applyAlignment="1">
      <x:alignment vertical="center"/>
    </x:xf>
    <x:xf numFmtId="221" fontId="27" fillId="0" borderId="22" xfId="0" applyNumberFormat="1" applyFont="1" applyFill="1" applyBorder="1" applyAlignment="1">
      <x:alignment vertical="center"/>
    </x:xf>
    <x:xf numFmtId="214" fontId="27" fillId="0" borderId="22" xfId="0" applyNumberFormat="1" applyFont="1" applyFill="1" applyBorder="1" applyAlignment="1">
      <x:alignment vertical="center"/>
    </x:xf>
    <x:xf numFmtId="213" fontId="17" fillId="29" borderId="22" xfId="0" applyNumberFormat="1" applyFont="1" applyFill="1" applyBorder="1" applyAlignment="1">
      <x:alignment vertical="center"/>
    </x:xf>
    <x:xf numFmtId="0" fontId="14" fillId="0" borderId="21" xfId="0" applyNumberFormat="1" applyFont="1" applyFill="1" applyBorder="1" applyAlignment="1">
      <x:alignment vertical="center"/>
    </x:xf>
    <x:xf numFmtId="221" fontId="14" fillId="0" borderId="21" xfId="0" applyNumberFormat="1" applyFont="1" applyFill="1" applyBorder="1" applyAlignment="1">
      <x:alignment vertical="center"/>
    </x:xf>
    <x:xf numFmtId="218" fontId="14" fillId="0" borderId="21" xfId="0" applyNumberFormat="1" applyFont="1" applyFill="1" applyBorder="1" applyAlignment="1">
      <x:alignment vertical="center"/>
    </x:xf>
    <x:xf numFmtId="214" fontId="17" fillId="0" borderId="21" xfId="0" applyNumberFormat="1" applyFont="1" applyFill="1" applyBorder="1" applyAlignment="1">
      <x:alignment vertical="center"/>
    </x:xf>
    <x:xf numFmtId="214" fontId="17" fillId="29" borderId="21" xfId="0" applyNumberFormat="1" applyFont="1" applyFill="1" applyBorder="1" applyAlignment="1">
      <x:alignment vertical="center"/>
    </x:xf>
    <x:xf numFmtId="214" fontId="14" fillId="0" borderId="21" xfId="0" applyNumberFormat="1" applyFont="1" applyFill="1" applyBorder="1" applyAlignment="1">
      <x:alignment vertical="center"/>
    </x:xf>
    <x:xf numFmtId="0" fontId="14" fillId="30" borderId="0" xfId="0" applyNumberFormat="1" applyFont="1" applyFill="1" applyBorder="1" applyAlignment="1">
      <x:alignment vertical="center" wrapText="1"/>
    </x:xf>
    <x:xf numFmtId="0" fontId="39" fillId="30" borderId="0" xfId="0" applyNumberFormat="1" applyFont="1" applyFill="1" applyBorder="1" applyAlignment="1">
      <x:alignment vertical="center" wrapText="1"/>
    </x:xf>
    <x:xf numFmtId="0" fontId="36" fillId="28" borderId="21" xfId="0" applyNumberFormat="1" applyFont="1" applyFill="1" applyBorder="1" applyAlignment="1">
      <x:alignment horizontal="right" vertical="center" wrapText="1"/>
    </x:xf>
    <x:xf numFmtId="0" fontId="37" fillId="0" borderId="22" xfId="0" applyNumberFormat="1" applyFont="1" applyFill="1" applyBorder="1" applyAlignment="1">
      <x:alignment horizontal="right" vertical="center"/>
    </x:xf>
    <x:xf numFmtId="220" fontId="37" fillId="0" borderId="22" xfId="0" applyNumberFormat="1" applyFont="1" applyFill="1" applyBorder="1" applyAlignment="1">
      <x:alignment horizontal="right" vertical="center"/>
    </x:xf>
    <x:xf numFmtId="213" fontId="37" fillId="0" borderId="22" xfId="0" applyNumberFormat="1" applyFont="1" applyFill="1" applyBorder="1" applyAlignment="1">
      <x:alignment horizontal="right" vertical="center"/>
    </x:xf>
    <x:xf numFmtId="218" fontId="37" fillId="0" borderId="22" xfId="0" applyNumberFormat="1" applyFont="1" applyFill="1" applyBorder="1" applyAlignment="1">
      <x:alignment horizontal="right" vertical="center"/>
    </x:xf>
    <x:xf numFmtId="218" fontId="14" fillId="0" borderId="0" xfId="0" applyNumberFormat="1" applyFont="1" applyFill="1" applyBorder="1" applyAlignment="1">
      <x:alignment horizontal="right" vertical="center"/>
    </x:xf>
    <x:xf numFmtId="0" fontId="19" fillId="27" borderId="0" xfId="0" applyNumberFormat="1" applyFont="1" applyFill="1" applyBorder="1" applyAlignment="1">
      <x:alignment horizontal="right" vertical="center"/>
    </x:xf>
    <x:xf numFmtId="218" fontId="36" fillId="28" borderId="21" xfId="0" applyNumberFormat="1" applyFont="1" applyFill="1" applyBorder="1" applyAlignment="1">
      <x:alignment horizontal="right" vertical="center" wrapText="1"/>
    </x:xf>
    <x:xf numFmtId="0" fontId="14" fillId="0" borderId="22" xfId="0" applyNumberFormat="1" applyFont="1" applyFill="1" applyBorder="1" applyAlignment="1">
      <x:alignment horizontal="right" vertical="center"/>
    </x:xf>
    <x:xf numFmtId="218" fontId="14" fillId="0" borderId="22" xfId="0" applyNumberFormat="1" applyFont="1" applyFill="1" applyBorder="1" applyAlignment="1">
      <x:alignment horizontal="right" vertical="center"/>
    </x:xf>
    <x:xf numFmtId="0" fontId="17" fillId="29" borderId="22" xfId="0" applyNumberFormat="1" applyFont="1" applyFill="1" applyBorder="1" applyAlignment="1">
      <x:alignment horizontal="right" vertical="center"/>
    </x:xf>
    <x:xf numFmtId="218" fontId="17" fillId="29" borderId="22" xfId="0" applyNumberFormat="1" applyFont="1" applyFill="1" applyBorder="1" applyAlignment="1">
      <x:alignment horizontal="right" vertical="center"/>
    </x:xf>
    <x:xf numFmtId="0" fontId="36" fillId="28" borderId="22" xfId="0" applyNumberFormat="1" applyFont="1" applyFill="1" applyBorder="1" applyAlignment="1">
      <x:alignment horizontal="right" vertical="center" wrapText="1"/>
    </x:xf>
    <x:xf numFmtId="214" fontId="17" fillId="29" borderId="22" xfId="0" applyNumberFormat="1" applyFont="1" applyFill="1" applyBorder="1" applyAlignment="1">
      <x:alignment horizontal="right" vertical="center"/>
    </x:xf>
    <x:xf numFmtId="213" fontId="17" fillId="29" borderId="22" xfId="0" applyNumberFormat="1" applyFont="1" applyFill="1" applyBorder="1" applyAlignment="1">
      <x:alignment horizontal="right" vertical="center"/>
    </x:xf>
    <x:xf numFmtId="218" fontId="14" fillId="0" borderId="21" xfId="0" applyNumberFormat="1" applyFont="1" applyFill="1" applyBorder="1" applyAlignment="1">
      <x:alignment horizontal="right" vertical="center"/>
    </x:xf>
    <x:xf numFmtId="214" fontId="17" fillId="0" borderId="21" xfId="0" applyNumberFormat="1" applyFont="1" applyFill="1" applyBorder="1" applyAlignment="1">
      <x:alignment horizontal="right" vertical="center"/>
    </x:xf>
    <x:xf numFmtId="214" fontId="17" fillId="29" borderId="21" xfId="0" applyNumberFormat="1" applyFont="1" applyFill="1" applyBorder="1" applyAlignment="1">
      <x:alignment horizontal="right" vertical="center"/>
    </x:xf>
    <x:xf numFmtId="0" fontId="37" fillId="0" borderId="0" xfId="0" applyNumberFormat="1" applyFont="1" applyFill="1" applyBorder="1"/>
    <x:xf numFmtId="200" fontId="37" fillId="0" borderId="22" xfId="0" applyNumberFormat="1" applyFont="1" applyFill="1" applyBorder="1"/>
    <x:xf numFmtId="0" fontId="37" fillId="0" borderId="22" xfId="0" applyNumberFormat="1" applyFont="1" applyFill="1" applyBorder="1" applyAlignment="1">
      <x:alignment wrapText="1"/>
    </x:xf>
    <x:xf numFmtId="200" fontId="37" fillId="0" borderId="22" xfId="0" applyNumberFormat="1" applyFont="1" applyFill="1" applyBorder="1" applyAlignment="1">
      <x:alignment wrapText="1"/>
    </x:xf>
    <x:xf numFmtId="0" fontId="9" fillId="26" borderId="0" xfId="0" applyNumberFormat="1" applyFont="1" applyFill="1" applyBorder="1"/>
    <x:xf numFmtId="0" fontId="26" fillId="26" borderId="0" xfId="0" applyNumberFormat="1" applyFont="1" applyFill="1" applyBorder="1"/>
    <x:xf numFmtId="0" fontId="0" fillId="0" borderId="22" xfId="0" applyNumberFormat="1" applyFont="1" applyFill="1" applyBorder="1"/>
    <x:xf numFmtId="0" fontId="0" fillId="26" borderId="22" xfId="0" applyNumberFormat="1" applyFont="1" applyFill="1" applyBorder="1"/>
    <x:xf numFmtId="0" fontId="40" fillId="26" borderId="22" xfId="0" applyNumberFormat="1" applyFont="1" applyFill="1" applyBorder="1"/>
    <x:xf numFmtId="0" fontId="38" fillId="0" borderId="0" xfId="0" applyNumberFormat="1" applyFont="1" applyFill="1" applyBorder="1"/>
    <x:xf numFmtId="0" fontId="38" fillId="0" borderId="0" xfId="0" applyNumberFormat="1" applyFont="1" applyFill="1" applyBorder="1" applyAlignment="1">
      <x:alignment wrapText="1"/>
    </x:xf>
    <x:xf numFmtId="0" fontId="38" fillId="31" borderId="0" xfId="0" applyNumberFormat="1" applyFont="1" applyFill="1" applyBorder="1"/>
    <x:xf numFmtId="0" fontId="33" fillId="31" borderId="0" xfId="0" applyNumberFormat="1" applyFont="1" applyFill="1" applyBorder="1"/>
    <x:xf numFmtId="0" fontId="38" fillId="32" borderId="0" xfId="0" applyNumberFormat="1" applyFont="1" applyFill="1" applyBorder="1"/>
    <x:xf numFmtId="0" fontId="34" fillId="32" borderId="0" xfId="0" applyNumberFormat="1" applyFont="1" applyFill="1" applyBorder="1"/>
    <x:xf numFmtId="0" fontId="38" fillId="33" borderId="0" xfId="0" applyNumberFormat="1" applyFont="1" applyFill="1" applyBorder="1"/>
    <x:xf numFmtId="0" fontId="35" fillId="33" borderId="0" xfId="0" applyNumberFormat="1" applyFont="1" applyFill="1" applyBorder="1"/>
    <x:xf numFmtId="0" fontId="38" fillId="34" borderId="0" xfId="0" applyNumberFormat="1" applyFont="1" applyFill="1" applyBorder="1"/>
    <x:xf numFmtId="0" fontId="19" fillId="34" borderId="0" xfId="0" applyNumberFormat="1" applyFont="1" applyFill="1" applyBorder="1"/>
    <x:xf numFmtId="0" fontId="38" fillId="35" borderId="0" xfId="0" applyNumberFormat="1" applyFont="1" applyFill="1" applyBorder="1"/>
    <x:xf numFmtId="0" fontId="36" fillId="35" borderId="0" xfId="0" applyNumberFormat="1" applyFont="1" applyFill="1" applyBorder="1"/>
    <x:xf numFmtId="0" fontId="36" fillId="35" borderId="0" xfId="0" applyNumberFormat="1" applyFont="1" applyFill="1" applyBorder="1" applyAlignment="1">
      <x:alignment wrapText="1"/>
    </x:xf>
    <x:xf numFmtId="0" fontId="36" fillId="35" borderId="21" xfId="0" applyNumberFormat="1" applyFont="1" applyFill="1" applyBorder="1" applyAlignment="1">
      <x:alignment wrapText="1"/>
    </x:xf>
    <x:xf numFmtId="0" fontId="37" fillId="36" borderId="22" xfId="0" applyNumberFormat="1" applyFont="1" applyFill="1" applyBorder="1"/>
    <x:xf numFmtId="0" fontId="38" fillId="36" borderId="22" xfId="0" applyNumberFormat="1" applyFont="1" applyFill="1" applyBorder="1"/>
    <x:xf numFmtId="0" fontId="38" fillId="37" borderId="22" xfId="0" applyNumberFormat="1" applyFont="1" applyFill="1" applyBorder="1"/>
    <x:xf numFmtId="0" fontId="41" fillId="37" borderId="22" xfId="0" applyNumberFormat="1" applyFont="1" applyFill="1" applyBorder="1"/>
    <x:xf numFmtId="0" fontId="36" fillId="35" borderId="22" xfId="0" applyNumberFormat="1" applyFont="1" applyFill="1" applyBorder="1" applyAlignment="1">
      <x:alignment wrapText="1"/>
    </x:xf>
    <x:xf numFmtId="0" fontId="42" fillId="0" borderId="22" xfId="0" applyNumberFormat="1" applyFont="1" applyFill="1" applyBorder="1"/>
    <x:xf numFmtId="0" fontId="38" fillId="0" borderId="21" xfId="0" applyNumberFormat="1" applyFont="1" applyFill="1" applyBorder="1"/>
    <x:xf numFmtId="0" fontId="38" fillId="37" borderId="21" xfId="0" applyNumberFormat="1" applyFont="1" applyFill="1" applyBorder="1"/>
    <x:xf numFmtId="0" fontId="41" fillId="0" borderId="21" xfId="0" applyNumberFormat="1" applyFont="1" applyFill="1" applyBorder="1"/>
    <x:xf numFmtId="0" fontId="41" fillId="37" borderId="21" xfId="0" applyNumberFormat="1" applyFont="1" applyFill="1" applyBorder="1"/>
    <x:xf numFmtId="0" fontId="38" fillId="38" borderId="0" xfId="0" applyNumberFormat="1" applyFont="1" applyFill="1" applyBorder="1" applyAlignment="1">
      <x:alignment wrapText="1"/>
    </x:xf>
    <x:xf numFmtId="0" fontId="39" fillId="38" borderId="0" xfId="0" applyNumberFormat="1" applyFont="1" applyFill="1" applyBorder="1" applyAlignment="1">
      <x:alignment wrapText="1"/>
    </x:xf>
    <x:xf numFmtId="200" fontId="37" fillId="36" borderId="22" xfId="0" applyNumberFormat="1" applyFont="1" applyFill="1" applyBorder="1"/>
    <x:xf numFmtId="221" fontId="37" fillId="0" borderId="22" xfId="0" applyNumberFormat="1" applyFont="1" applyFill="1" applyBorder="1"/>
    <x:xf numFmtId="221" fontId="37" fillId="36" borderId="22" xfId="0" applyNumberFormat="1" applyFont="1" applyFill="1" applyBorder="1"/>
    <x:xf numFmtId="218" fontId="38" fillId="0" borderId="22" xfId="0" applyNumberFormat="1" applyFont="1" applyFill="1" applyBorder="1"/>
    <x:xf numFmtId="218" fontId="38" fillId="36" borderId="22" xfId="0" applyNumberFormat="1" applyFont="1" applyFill="1" applyBorder="1"/>
    <x:xf numFmtId="218" fontId="38" fillId="0" borderId="0" xfId="0" applyNumberFormat="1" applyFont="1" applyFill="1" applyBorder="1"/>
    <x:xf numFmtId="218" fontId="36" fillId="35" borderId="21" xfId="0" applyNumberFormat="1" applyFont="1" applyFill="1" applyBorder="1" applyAlignment="1">
      <x:alignment wrapText="1"/>
    </x:xf>
    <x:xf numFmtId="218" fontId="41" fillId="37" borderId="22" xfId="0" applyNumberFormat="1" applyFont="1" applyFill="1" applyBorder="1"/>
    <x:xf numFmtId="213" fontId="38" fillId="0" borderId="22" xfId="0" applyNumberFormat="1" applyFont="1" applyFill="1" applyBorder="1"/>
    <x:xf numFmtId="213" fontId="38" fillId="36" borderId="22" xfId="0" applyNumberFormat="1" applyFont="1" applyFill="1" applyBorder="1"/>
    <x:xf numFmtId="213" fontId="38" fillId="0" borderId="0" xfId="0" applyNumberFormat="1" applyFont="1" applyFill="1" applyBorder="1"/>
    <x:xf numFmtId="213" fontId="36" fillId="35" borderId="21" xfId="0" applyNumberFormat="1" applyFont="1" applyFill="1" applyBorder="1" applyAlignment="1">
      <x:alignment wrapText="1"/>
    </x:xf>
    <x:xf numFmtId="213" fontId="41" fillId="37" borderId="22" xfId="0" applyNumberFormat="1" applyFont="1" applyFill="1" applyBorder="1"/>
    <x:xf numFmtId="221" fontId="42" fillId="0" borderId="22" xfId="0" applyNumberFormat="1" applyFont="1" applyFill="1" applyBorder="1"/>
    <x:xf numFmtId="214" fontId="37" fillId="0" borderId="22" xfId="0" applyNumberFormat="1" applyFont="1" applyFill="1" applyBorder="1"/>
    <x:xf numFmtId="214" fontId="41" fillId="37" borderId="22" xfId="0" applyNumberFormat="1" applyFont="1" applyFill="1" applyBorder="1"/>
    <x:xf numFmtId="221" fontId="38" fillId="0" borderId="21" xfId="0" applyNumberFormat="1" applyFont="1" applyFill="1" applyBorder="1"/>
    <x:xf numFmtId="214" fontId="38" fillId="0" borderId="21" xfId="0" applyNumberFormat="1" applyFont="1" applyFill="1" applyBorder="1"/>
    <x:xf numFmtId="218" fontId="38" fillId="0" borderId="21" xfId="0" applyNumberFormat="1" applyFont="1" applyFill="1" applyBorder="1"/>
    <x:xf numFmtId="213" fontId="38" fillId="0" borderId="21" xfId="0" applyNumberFormat="1" applyFont="1" applyFill="1" applyBorder="1"/>
    <x:xf numFmtId="214" fontId="41" fillId="0" borderId="21" xfId="0" applyNumberFormat="1" applyFont="1" applyFill="1" applyBorder="1"/>
    <x:xf numFmtId="214" fontId="41" fillId="37" borderId="21" xfId="0" applyNumberFormat="1" applyFont="1" applyFill="1" applyBorder="1"/>
    <x:xf numFmtId="0" fontId="33" fillId="31" borderId="0" xfId="0" applyNumberFormat="1" applyFont="1" applyFill="1" applyBorder="1" applyAlignment="1">
      <x:alignment vertical="center"/>
    </x:xf>
    <x:xf numFmtId="0" fontId="34" fillId="32" borderId="0" xfId="0" applyNumberFormat="1" applyFont="1" applyFill="1" applyBorder="1" applyAlignment="1">
      <x:alignment vertical="center"/>
    </x:xf>
    <x:xf numFmtId="0" fontId="35" fillId="33" borderId="0" xfId="0" applyNumberFormat="1" applyFont="1" applyFill="1" applyBorder="1" applyAlignment="1">
      <x:alignment vertical="center"/>
    </x:xf>
    <x:xf numFmtId="0" fontId="38" fillId="0" borderId="0" xfId="0" applyNumberFormat="1" applyFont="1" applyFill="1" applyBorder="1" applyAlignment="1">
      <x:alignment vertical="center"/>
    </x:xf>
    <x:xf numFmtId="0" fontId="19" fillId="34" borderId="0" xfId="0" applyNumberFormat="1" applyFont="1" applyFill="1" applyBorder="1" applyAlignment="1">
      <x:alignment vertical="center"/>
    </x:xf>
    <x:xf numFmtId="0" fontId="36" fillId="35" borderId="21" xfId="0" applyNumberFormat="1" applyFont="1" applyFill="1" applyBorder="1" applyAlignment="1">
      <x:alignment vertical="center" wrapText="1"/>
    </x:xf>
    <x:xf numFmtId="200" fontId="37" fillId="0" borderId="22" xfId="0" applyNumberFormat="1" applyFont="1" applyFill="1" applyBorder="1" applyAlignment="1">
      <x:alignment vertical="center"/>
    </x:xf>
    <x:xf numFmtId="221" fontId="37" fillId="0" borderId="22" xfId="0" applyNumberFormat="1" applyFont="1" applyFill="1" applyBorder="1" applyAlignment="1">
      <x:alignment vertical="center"/>
    </x:xf>
    <x:xf numFmtId="218" fontId="38" fillId="0" borderId="22" xfId="0" applyNumberFormat="1" applyFont="1" applyFill="1" applyBorder="1" applyAlignment="1">
      <x:alignment vertical="center"/>
    </x:xf>
    <x:xf numFmtId="213" fontId="38" fillId="0" borderId="22" xfId="0" applyNumberFormat="1" applyFont="1" applyFill="1" applyBorder="1" applyAlignment="1">
      <x:alignment vertical="center"/>
    </x:xf>
    <x:xf numFmtId="200" fontId="37" fillId="36" borderId="22" xfId="0" applyNumberFormat="1" applyFont="1" applyFill="1" applyBorder="1" applyAlignment="1">
      <x:alignment vertical="center"/>
    </x:xf>
    <x:xf numFmtId="0" fontId="37" fillId="36" borderId="22" xfId="0" applyNumberFormat="1" applyFont="1" applyFill="1" applyBorder="1" applyAlignment="1">
      <x:alignment vertical="center"/>
    </x:xf>
    <x:xf numFmtId="221" fontId="37" fillId="36" borderId="22" xfId="0" applyNumberFormat="1" applyFont="1" applyFill="1" applyBorder="1" applyAlignment="1">
      <x:alignment vertical="center"/>
    </x:xf>
    <x:xf numFmtId="218" fontId="38" fillId="36" borderId="22" xfId="0" applyNumberFormat="1" applyFont="1" applyFill="1" applyBorder="1" applyAlignment="1">
      <x:alignment vertical="center"/>
    </x:xf>
    <x:xf numFmtId="213" fontId="38" fillId="36" borderId="22" xfId="0" applyNumberFormat="1" applyFont="1" applyFill="1" applyBorder="1" applyAlignment="1">
      <x:alignment vertical="center"/>
    </x:xf>
    <x:xf numFmtId="218" fontId="38" fillId="0" borderId="0" xfId="0" applyNumberFormat="1" applyFont="1" applyFill="1" applyBorder="1" applyAlignment="1">
      <x:alignment vertical="center"/>
    </x:xf>
    <x:xf numFmtId="213" fontId="38" fillId="0" borderId="0" xfId="0" applyNumberFormat="1" applyFont="1" applyFill="1" applyBorder="1" applyAlignment="1">
      <x:alignment vertical="center"/>
    </x:xf>
    <x:xf numFmtId="218" fontId="36" fillId="35" borderId="21" xfId="0" applyNumberFormat="1" applyFont="1" applyFill="1" applyBorder="1" applyAlignment="1">
      <x:alignment vertical="center" wrapText="1"/>
    </x:xf>
    <x:xf numFmtId="213" fontId="36" fillId="35" borderId="21" xfId="0" applyNumberFormat="1" applyFont="1" applyFill="1" applyBorder="1" applyAlignment="1">
      <x:alignment vertical="center" wrapText="1"/>
    </x:xf>
    <x:xf numFmtId="0" fontId="38" fillId="0" borderId="0" xfId="0" applyNumberFormat="1" applyFont="1" applyFill="1" applyBorder="1" applyAlignment="1">
      <x:alignment vertical="center" wrapText="1"/>
    </x:xf>
    <x:xf numFmtId="0" fontId="41" fillId="37" borderId="22" xfId="0" applyNumberFormat="1" applyFont="1" applyFill="1" applyBorder="1" applyAlignment="1">
      <x:alignment vertical="center"/>
    </x:xf>
    <x:xf numFmtId="218" fontId="41" fillId="37" borderId="22" xfId="0" applyNumberFormat="1" applyFont="1" applyFill="1" applyBorder="1" applyAlignment="1">
      <x:alignment vertical="center"/>
    </x:xf>
    <x:xf numFmtId="213" fontId="41" fillId="37" borderId="22" xfId="0" applyNumberFormat="1" applyFont="1" applyFill="1" applyBorder="1" applyAlignment="1">
      <x:alignment vertical="center"/>
    </x:xf>
    <x:xf numFmtId="0" fontId="36" fillId="35" borderId="22" xfId="0" applyNumberFormat="1" applyFont="1" applyFill="1" applyBorder="1" applyAlignment="1">
      <x:alignment vertical="center" wrapText="1"/>
    </x:xf>
    <x:xf numFmtId="214" fontId="41" fillId="37" borderId="22" xfId="0" applyNumberFormat="1" applyFont="1" applyFill="1" applyBorder="1" applyAlignment="1">
      <x:alignment vertical="center"/>
    </x:xf>
    <x:xf numFmtId="221" fontId="42" fillId="0" borderId="22" xfId="0" applyNumberFormat="1" applyFont="1" applyFill="1" applyBorder="1" applyAlignment="1">
      <x:alignment vertical="center"/>
    </x:xf>
    <x:xf numFmtId="214" fontId="37" fillId="0" borderId="22" xfId="0" applyNumberFormat="1" applyFont="1" applyFill="1" applyBorder="1" applyAlignment="1">
      <x:alignment vertical="center"/>
    </x:xf>
    <x:xf numFmtId="0" fontId="38" fillId="0" borderId="21" xfId="0" applyNumberFormat="1" applyFont="1" applyFill="1" applyBorder="1" applyAlignment="1">
      <x:alignment vertical="center"/>
    </x:xf>
    <x:xf numFmtId="221" fontId="38" fillId="0" borderId="21" xfId="0" applyNumberFormat="1" applyFont="1" applyFill="1" applyBorder="1" applyAlignment="1">
      <x:alignment vertical="center"/>
    </x:xf>
    <x:xf numFmtId="218" fontId="38" fillId="0" borderId="21" xfId="0" applyNumberFormat="1" applyFont="1" applyFill="1" applyBorder="1" applyAlignment="1">
      <x:alignment vertical="center"/>
    </x:xf>
    <x:xf numFmtId="214" fontId="41" fillId="0" borderId="21" xfId="0" applyNumberFormat="1" applyFont="1" applyFill="1" applyBorder="1" applyAlignment="1">
      <x:alignment vertical="center"/>
    </x:xf>
    <x:xf numFmtId="214" fontId="41" fillId="37" borderId="21" xfId="0" applyNumberFormat="1" applyFont="1" applyFill="1" applyBorder="1" applyAlignment="1">
      <x:alignment vertical="center"/>
    </x:xf>
    <x:xf numFmtId="214" fontId="38" fillId="0" borderId="21" xfId="0" applyNumberFormat="1" applyFont="1" applyFill="1" applyBorder="1" applyAlignment="1">
      <x:alignment vertical="center"/>
    </x:xf>
    <x:xf numFmtId="213" fontId="38" fillId="0" borderId="21" xfId="0" applyNumberFormat="1" applyFont="1" applyFill="1" applyBorder="1" applyAlignment="1">
      <x:alignment vertical="center"/>
    </x:xf>
    <x:xf numFmtId="0" fontId="38" fillId="38" borderId="0" xfId="0" applyNumberFormat="1" applyFont="1" applyFill="1" applyBorder="1" applyAlignment="1">
      <x:alignment vertical="center" wrapText="1"/>
    </x:xf>
    <x:xf numFmtId="0" fontId="39" fillId="38" borderId="0" xfId="0" applyNumberFormat="1" applyFont="1" applyFill="1" applyBorder="1" applyAlignment="1">
      <x:alignment vertical="center" wrapText="1"/>
    </x:xf>
    <x:xf numFmtId="0" fontId="36" fillId="35" borderId="21" xfId="0" applyNumberFormat="1" applyFont="1" applyFill="1" applyBorder="1" applyAlignment="1">
      <x:alignment horizontal="right" vertical="center" wrapText="1"/>
    </x:xf>
    <x:xf numFmtId="221" fontId="37" fillId="0" borderId="22" xfId="0" applyNumberFormat="1" applyFont="1" applyFill="1" applyBorder="1" applyAlignment="1">
      <x:alignment horizontal="right" vertical="center"/>
    </x:xf>
    <x:xf numFmtId="218" fontId="38" fillId="0" borderId="22" xfId="0" applyNumberFormat="1" applyFont="1" applyFill="1" applyBorder="1" applyAlignment="1">
      <x:alignment horizontal="right" vertical="center"/>
    </x:xf>
    <x:xf numFmtId="213" fontId="38" fillId="0" borderId="22" xfId="0" applyNumberFormat="1" applyFont="1" applyFill="1" applyBorder="1" applyAlignment="1">
      <x:alignment horizontal="right" vertical="center"/>
    </x:xf>
    <x:xf numFmtId="0" fontId="37" fillId="36" borderId="22" xfId="0" applyNumberFormat="1" applyFont="1" applyFill="1" applyBorder="1" applyAlignment="1">
      <x:alignment horizontal="right" vertical="center"/>
    </x:xf>
    <x:xf numFmtId="221" fontId="37" fillId="36" borderId="22" xfId="0" applyNumberFormat="1" applyFont="1" applyFill="1" applyBorder="1" applyAlignment="1">
      <x:alignment horizontal="right" vertical="center"/>
    </x:xf>
    <x:xf numFmtId="218" fontId="38" fillId="36" borderId="22" xfId="0" applyNumberFormat="1" applyFont="1" applyFill="1" applyBorder="1" applyAlignment="1">
      <x:alignment horizontal="right" vertical="center"/>
    </x:xf>
    <x:xf numFmtId="213" fontId="38" fillId="36" borderId="22" xfId="0" applyNumberFormat="1" applyFont="1" applyFill="1" applyBorder="1" applyAlignment="1">
      <x:alignment horizontal="right" vertical="center"/>
    </x:xf>
    <x:xf numFmtId="0" fontId="38" fillId="0" borderId="0" xfId="0" applyNumberFormat="1" applyFont="1" applyFill="1" applyBorder="1" applyAlignment="1">
      <x:alignment horizontal="right" vertical="center"/>
    </x:xf>
    <x:xf numFmtId="218" fontId="38" fillId="0" borderId="0" xfId="0" applyNumberFormat="1" applyFont="1" applyFill="1" applyBorder="1" applyAlignment="1">
      <x:alignment horizontal="right" vertical="center"/>
    </x:xf>
    <x:xf numFmtId="213" fontId="38" fillId="0" borderId="0" xfId="0" applyNumberFormat="1" applyFont="1" applyFill="1" applyBorder="1" applyAlignment="1">
      <x:alignment horizontal="right" vertical="center"/>
    </x:xf>
    <x:xf numFmtId="0" fontId="19" fillId="34" borderId="0" xfId="0" applyNumberFormat="1" applyFont="1" applyFill="1" applyBorder="1" applyAlignment="1">
      <x:alignment horizontal="right" vertical="center"/>
    </x:xf>
    <x:xf numFmtId="218" fontId="36" fillId="35" borderId="21" xfId="0" applyNumberFormat="1" applyFont="1" applyFill="1" applyBorder="1" applyAlignment="1">
      <x:alignment horizontal="right" vertical="center" wrapText="1"/>
    </x:xf>
    <x:xf numFmtId="213" fontId="36" fillId="35" borderId="21" xfId="0" applyNumberFormat="1" applyFont="1" applyFill="1" applyBorder="1" applyAlignment="1">
      <x:alignment horizontal="right" vertical="center" wrapText="1"/>
    </x:xf>
    <x:xf numFmtId="0" fontId="38" fillId="0" borderId="22" xfId="0" applyNumberFormat="1" applyFont="1" applyFill="1" applyBorder="1" applyAlignment="1">
      <x:alignment horizontal="right" vertical="center"/>
    </x:xf>
    <x:xf numFmtId="0" fontId="41" fillId="37" borderId="22" xfId="0" applyNumberFormat="1" applyFont="1" applyFill="1" applyBorder="1" applyAlignment="1">
      <x:alignment horizontal="right" vertical="center"/>
    </x:xf>
    <x:xf numFmtId="218" fontId="41" fillId="37" borderId="22" xfId="0" applyNumberFormat="1" applyFont="1" applyFill="1" applyBorder="1" applyAlignment="1">
      <x:alignment horizontal="right" vertical="center"/>
    </x:xf>
    <x:xf numFmtId="213" fontId="41" fillId="37" borderId="22" xfId="0" applyNumberFormat="1" applyFont="1" applyFill="1" applyBorder="1" applyAlignment="1">
      <x:alignment horizontal="right" vertical="center"/>
    </x:xf>
    <x:xf numFmtId="214" fontId="41" fillId="37" borderId="22" xfId="0" applyNumberFormat="1" applyFont="1" applyFill="1" applyBorder="1" applyAlignment="1">
      <x:alignment horizontal="right" vertical="center"/>
    </x:xf>
    <x:xf numFmtId="218" fontId="38" fillId="0" borderId="21" xfId="0" applyNumberFormat="1" applyFont="1" applyFill="1" applyBorder="1" applyAlignment="1">
      <x:alignment horizontal="right" vertical="center"/>
    </x:xf>
    <x:xf numFmtId="214" fontId="41" fillId="0" borderId="21" xfId="0" applyNumberFormat="1" applyFont="1" applyFill="1" applyBorder="1" applyAlignment="1">
      <x:alignment horizontal="right" vertical="center"/>
    </x:xf>
    <x:xf numFmtId="214" fontId="41" fillId="37" borderId="21" xfId="0" applyNumberFormat="1" applyFont="1" applyFill="1" applyBorder="1" applyAlignment="1">
      <x:alignment horizontal="right" vertical="center"/>
    </x:xf>
    <x:xf numFmtId="213" fontId="38" fillId="0" borderId="21" xfId="0" applyNumberFormat="1" applyFont="1" applyFill="1" applyBorder="1" applyAlignment="1">
      <x:alignment horizontal="right" vertical="center"/>
    </x:xf>
    <x:xf numFmtId="0" fontId="9" fillId="33" borderId="0" xfId="0" applyNumberFormat="1" applyFont="1" applyFill="1" applyBorder="1"/>
    <x:xf numFmtId="0" fontId="26" fillId="33" borderId="0" xfId="0" applyNumberFormat="1" applyFont="1" applyFill="1" applyBorder="1"/>
    <x:xf numFmtId="0" fontId="0" fillId="33" borderId="22" xfId="0" applyNumberFormat="1" applyFont="1" applyFill="1" applyBorder="1"/>
    <x:xf numFmtId="0" fontId="40" fillId="33" borderId="22" xfId="0" applyNumberFormat="1" applyFont="1" applyFill="1" applyBorder="1"/>
    <x:xf numFmtId="0" fontId="38" fillId="39" borderId="0" xfId="0" applyNumberFormat="1" applyFont="1" applyFill="1" applyBorder="1"/>
    <x:xf numFmtId="0" fontId="33" fillId="39" borderId="0" xfId="0" applyNumberFormat="1" applyFont="1" applyFill="1" applyBorder="1"/>
    <x:xf numFmtId="0" fontId="38" fillId="40" borderId="0" xfId="0" applyNumberFormat="1" applyFont="1" applyFill="1" applyBorder="1"/>
    <x:xf numFmtId="0" fontId="34" fillId="40" borderId="0" xfId="0" applyNumberFormat="1" applyFont="1" applyFill="1" applyBorder="1"/>
    <x:xf numFmtId="0" fontId="38" fillId="41" borderId="0" xfId="0" applyNumberFormat="1" applyFont="1" applyFill="1" applyBorder="1"/>
    <x:xf numFmtId="0" fontId="35" fillId="41" borderId="0" xfId="0" applyNumberFormat="1" applyFont="1" applyFill="1" applyBorder="1"/>
    <x:xf numFmtId="0" fontId="38" fillId="42" borderId="0" xfId="0" applyNumberFormat="1" applyFont="1" applyFill="1" applyBorder="1"/>
    <x:xf numFmtId="0" fontId="19" fillId="42" borderId="0" xfId="0" applyNumberFormat="1" applyFont="1" applyFill="1" applyBorder="1"/>
    <x:xf numFmtId="0" fontId="38" fillId="43" borderId="22" xfId="0" applyNumberFormat="1" applyFont="1" applyFill="1" applyBorder="1"/>
    <x:xf numFmtId="0" fontId="36" fillId="43" borderId="22" xfId="0" applyNumberFormat="1" applyFont="1" applyFill="1" applyBorder="1"/>
    <x:xf numFmtId="0" fontId="18" fillId="0" borderId="22" xfId="0" applyNumberFormat="1" applyFont="1" applyFill="1" applyBorder="1"/>
    <x:xf numFmtId="0" fontId="43" fillId="0" borderId="22" xfId="0" applyNumberFormat="1" applyFont="1" applyFill="1" applyBorder="1"/>
    <x:xf numFmtId="0" fontId="43" fillId="44" borderId="22" xfId="0" applyNumberFormat="1" applyFont="1" applyFill="1" applyBorder="1"/>
    <x:xf numFmtId="0" fontId="17" fillId="0" borderId="22" xfId="0" applyNumberFormat="1" applyFont="1" applyFill="1" applyBorder="1"/>
    <x:xf numFmtId="0" fontId="17" fillId="41" borderId="22" xfId="0" applyNumberFormat="1" applyFont="1" applyFill="1" applyBorder="1"/>
    <x:xf numFmtId="0" fontId="18" fillId="44" borderId="22" xfId="0" applyNumberFormat="1" applyFont="1" applyFill="1" applyBorder="1"/>
    <x:xf numFmtId="0" fontId="38" fillId="45" borderId="0" xfId="0" applyNumberFormat="1" applyFont="1" applyFill="1" applyBorder="1"/>
    <x:xf numFmtId="0" fontId="38" fillId="45" borderId="0" xfId="0" applyNumberFormat="1" applyFont="1" applyFill="1" applyBorder="1" applyAlignment="1">
      <x:alignment wrapText="1"/>
    </x:xf>
    <x:xf numFmtId="0" fontId="35" fillId="45" borderId="0" xfId="0" applyNumberFormat="1" applyFont="1" applyFill="1" applyBorder="1" applyAlignment="1">
      <x:alignment wrapText="1"/>
    </x:xf>
    <x:xf numFmtId="0" fontId="36" fillId="43" borderId="22" xfId="0" applyNumberFormat="1" applyFont="1" applyFill="1" applyBorder="1" applyAlignment="1">
      <x:alignment wrapText="1"/>
    </x:xf>
    <x:xf numFmtId="0" fontId="38" fillId="0" borderId="22" xfId="0" applyNumberFormat="1" applyFont="1" applyFill="1" applyBorder="1" applyAlignment="1">
      <x:alignment wrapText="1"/>
    </x:xf>
    <x:xf numFmtId="0" fontId="38" fillId="44" borderId="22" xfId="0" applyNumberFormat="1" applyFont="1" applyFill="1" applyBorder="1"/>
    <x:xf numFmtId="0" fontId="38" fillId="44" borderId="22" xfId="0" applyNumberFormat="1" applyFont="1" applyFill="1" applyBorder="1" applyAlignment="1">
      <x:alignment wrapText="1"/>
    </x:xf>
    <x:xf numFmtId="0" fontId="41" fillId="44" borderId="22" xfId="0" applyNumberFormat="1" applyFont="1" applyFill="1" applyBorder="1"/>
    <x:xf numFmtId="0" fontId="41" fillId="44" borderId="22" xfId="0" applyNumberFormat="1" applyFont="1" applyFill="1" applyBorder="1" applyAlignment="1">
      <x:alignment wrapText="1"/>
    </x:xf>
    <x:xf numFmtId="0" fontId="38" fillId="45" borderId="22" xfId="0" applyNumberFormat="1" applyFont="1" applyFill="1" applyBorder="1"/>
    <x:xf numFmtId="0" fontId="37" fillId="45" borderId="22" xfId="0" applyNumberFormat="1" applyFont="1" applyFill="1" applyBorder="1"/>
    <x:xf numFmtId="0" fontId="38" fillId="43" borderId="0" xfId="0" applyNumberFormat="1" applyFont="1" applyFill="1" applyBorder="1"/>
    <x:xf numFmtId="0" fontId="44" fillId="43" borderId="0" xfId="0" applyNumberFormat="1" applyFont="1" applyFill="1" applyBorder="1"/>
    <x:xf numFmtId="0" fontId="38" fillId="0" borderId="10" xfId="0" applyNumberFormat="1" applyFont="1" applyFill="1" applyBorder="1"/>
    <x:xf numFmtId="0" fontId="38" fillId="45" borderId="10" xfId="0" applyNumberFormat="1" applyFont="1" applyFill="1" applyBorder="1"/>
    <x:xf numFmtId="0" fontId="38" fillId="46" borderId="10" xfId="0" applyNumberFormat="1" applyFont="1" applyFill="1" applyBorder="1"/>
    <x:xf numFmtId="222" fontId="38" fillId="46" borderId="10" xfId="0" applyNumberFormat="1" applyFont="1" applyFill="1" applyBorder="1"/>
    <x:xf numFmtId="0" fontId="38" fillId="0" borderId="23" xfId="0" applyNumberFormat="1" applyFont="1" applyFill="1" applyBorder="1"/>
    <x:xf numFmtId="0" fontId="38" fillId="45" borderId="23" xfId="0" applyNumberFormat="1" applyFont="1" applyFill="1" applyBorder="1"/>
    <x:xf numFmtId="222" fontId="38" fillId="46" borderId="23" xfId="0" applyNumberFormat="1" applyFont="1" applyFill="1" applyBorder="1"/>
    <x:xf numFmtId="0" fontId="39" fillId="45" borderId="0" xfId="0" applyNumberFormat="1" applyFont="1" applyFill="1" applyBorder="1" applyAlignment="1">
      <x:alignment wrapText="1"/>
    </x:xf>
    <x:xf numFmtId="214" fontId="18" fillId="0" borderId="22" xfId="0" applyNumberFormat="1" applyFont="1" applyFill="1" applyBorder="1"/>
    <x:xf numFmtId="214" fontId="38" fillId="0" borderId="22" xfId="0" applyNumberFormat="1" applyFont="1" applyFill="1" applyBorder="1"/>
    <x:xf numFmtId="214" fontId="43" fillId="44" borderId="22" xfId="0" applyNumberFormat="1" applyFont="1" applyFill="1" applyBorder="1"/>
    <x:xf numFmtId="214" fontId="17" fillId="41" borderId="22" xfId="0" applyNumberFormat="1" applyFont="1" applyFill="1" applyBorder="1"/>
    <x:xf numFmtId="213" fontId="17" fillId="41" borderId="22" xfId="0" applyNumberFormat="1" applyFont="1" applyFill="1" applyBorder="1"/>
    <x:xf numFmtId="215" fontId="18" fillId="44" borderId="22" xfId="0" applyNumberFormat="1" applyFont="1" applyFill="1" applyBorder="1"/>
    <x:xf numFmtId="218" fontId="18" fillId="44" borderId="22" xfId="0" applyNumberFormat="1" applyFont="1" applyFill="1" applyBorder="1"/>
    <x:xf numFmtId="214" fontId="42" fillId="0" borderId="22" xfId="0" applyNumberFormat="1" applyFont="1" applyFill="1" applyBorder="1"/>
    <x:xf numFmtId="214" fontId="41" fillId="44" borderId="22" xfId="0" applyNumberFormat="1" applyFont="1" applyFill="1" applyBorder="1"/>
    <x:xf numFmtId="214" fontId="37" fillId="45" borderId="22" xfId="0" applyNumberFormat="1" applyFont="1" applyFill="1" applyBorder="1"/>
    <x:xf numFmtId="214" fontId="38" fillId="45" borderId="22" xfId="0" applyNumberFormat="1" applyFont="1" applyFill="1" applyBorder="1"/>
    <x:xf numFmtId="223" fontId="44" fillId="43" borderId="0" xfId="0" applyNumberFormat="1" applyFont="1" applyFill="1" applyBorder="1"/>
    <x:xf numFmtId="214" fontId="38" fillId="45" borderId="10" xfId="0" applyNumberFormat="1" applyFont="1" applyFill="1" applyBorder="1"/>
    <x:xf numFmtId="214" fontId="38" fillId="45" borderId="23" xfId="0" applyNumberFormat="1" applyFont="1" applyFill="1" applyBorder="1"/>
    <x:xf numFmtId="0" fontId="33" fillId="39" borderId="0" xfId="0" applyNumberFormat="1" applyFont="1" applyFill="1" applyBorder="1" applyAlignment="1">
      <x:alignment vertical="center"/>
    </x:xf>
    <x:xf numFmtId="0" fontId="34" fillId="40" borderId="0" xfId="0" applyNumberFormat="1" applyFont="1" applyFill="1" applyBorder="1" applyAlignment="1">
      <x:alignment vertical="center"/>
    </x:xf>
    <x:xf numFmtId="0" fontId="35" fillId="41" borderId="0" xfId="0" applyNumberFormat="1" applyFont="1" applyFill="1" applyBorder="1" applyAlignment="1">
      <x:alignment vertical="center"/>
    </x:xf>
    <x:xf numFmtId="0" fontId="19" fillId="42" borderId="0" xfId="0" applyNumberFormat="1" applyFont="1" applyFill="1" applyBorder="1" applyAlignment="1">
      <x:alignment vertical="center"/>
    </x:xf>
    <x:xf numFmtId="0" fontId="36" fillId="43" borderId="22" xfId="0" applyNumberFormat="1" applyFont="1" applyFill="1" applyBorder="1" applyAlignment="1">
      <x:alignment vertical="center"/>
    </x:xf>
    <x:xf numFmtId="214" fontId="18" fillId="0" borderId="22" xfId="0" applyNumberFormat="1" applyFont="1" applyFill="1" applyBorder="1" applyAlignment="1">
      <x:alignment vertical="center"/>
    </x:xf>
    <x:xf numFmtId="214" fontId="38" fillId="0" borderId="22" xfId="0" applyNumberFormat="1" applyFont="1" applyFill="1" applyBorder="1" applyAlignment="1">
      <x:alignment vertical="center"/>
    </x:xf>
    <x:xf numFmtId="215" fontId="18" fillId="44" borderId="22" xfId="0" applyNumberFormat="1" applyFont="1" applyFill="1" applyBorder="1" applyAlignment="1">
      <x:alignment vertical="center"/>
    </x:xf>
    <x:xf numFmtId="0" fontId="35" fillId="45" borderId="0" xfId="0" applyNumberFormat="1" applyFont="1" applyFill="1" applyBorder="1" applyAlignment="1">
      <x:alignment vertical="center" wrapText="1"/>
    </x:xf>
    <x:xf numFmtId="214" fontId="43" fillId="44" borderId="22" xfId="0" applyNumberFormat="1" applyFont="1" applyFill="1" applyBorder="1" applyAlignment="1">
      <x:alignment vertical="center"/>
    </x:xf>
    <x:xf numFmtId="218" fontId="18" fillId="44" borderId="22" xfId="0" applyNumberFormat="1" applyFont="1" applyFill="1" applyBorder="1" applyAlignment="1">
      <x:alignment vertical="center"/>
    </x:xf>
    <x:xf numFmtId="214" fontId="17" fillId="41" borderId="22" xfId="0" applyNumberFormat="1" applyFont="1" applyFill="1" applyBorder="1" applyAlignment="1">
      <x:alignment vertical="center"/>
    </x:xf>
    <x:xf numFmtId="213" fontId="17" fillId="41" borderId="22" xfId="0" applyNumberFormat="1" applyFont="1" applyFill="1" applyBorder="1" applyAlignment="1">
      <x:alignment vertical="center"/>
    </x:xf>
    <x:xf numFmtId="0" fontId="36" fillId="43" borderId="22" xfId="0" applyNumberFormat="1" applyFont="1" applyFill="1" applyBorder="1" applyAlignment="1">
      <x:alignment vertical="center" wrapText="1"/>
    </x:xf>
    <x:xf numFmtId="214" fontId="42" fillId="0" borderId="22" xfId="0" applyNumberFormat="1" applyFont="1" applyFill="1" applyBorder="1" applyAlignment="1">
      <x:alignment vertical="center"/>
    </x:xf>
    <x:xf numFmtId="0" fontId="38" fillId="0" borderId="22" xfId="0" applyNumberFormat="1" applyFont="1" applyFill="1" applyBorder="1" applyAlignment="1">
      <x:alignment vertical="center" wrapText="1"/>
    </x:xf>
    <x:xf numFmtId="0" fontId="41" fillId="44" borderId="22" xfId="0" applyNumberFormat="1" applyFont="1" applyFill="1" applyBorder="1" applyAlignment="1">
      <x:alignment vertical="center"/>
    </x:xf>
    <x:xf numFmtId="214" fontId="41" fillId="44" borderId="22" xfId="0" applyNumberFormat="1" applyFont="1" applyFill="1" applyBorder="1" applyAlignment="1">
      <x:alignment vertical="center"/>
    </x:xf>
    <x:xf numFmtId="0" fontId="41" fillId="44" borderId="22" xfId="0" applyNumberFormat="1" applyFont="1" applyFill="1" applyBorder="1" applyAlignment="1">
      <x:alignment vertical="center" wrapText="1"/>
    </x:xf>
    <x:xf numFmtId="0" fontId="38" fillId="45" borderId="22" xfId="0" applyNumberFormat="1" applyFont="1" applyFill="1" applyBorder="1" applyAlignment="1">
      <x:alignment vertical="center"/>
    </x:xf>
    <x:xf numFmtId="214" fontId="37" fillId="45" borderId="22" xfId="0" applyNumberFormat="1" applyFont="1" applyFill="1" applyBorder="1" applyAlignment="1">
      <x:alignment vertical="center"/>
    </x:xf>
    <x:xf numFmtId="214" fontId="38" fillId="45" borderId="22" xfId="0" applyNumberFormat="1" applyFont="1" applyFill="1" applyBorder="1" applyAlignment="1">
      <x:alignment vertical="center"/>
    </x:xf>
    <x:xf numFmtId="0" fontId="44" fillId="43" borderId="0" xfId="0" applyNumberFormat="1" applyFont="1" applyFill="1" applyBorder="1" applyAlignment="1">
      <x:alignment vertical="center"/>
    </x:xf>
    <x:xf numFmtId="223" fontId="44" fillId="43" borderId="0" xfId="0" applyNumberFormat="1" applyFont="1" applyFill="1" applyBorder="1" applyAlignment="1">
      <x:alignment vertical="center"/>
    </x:xf>
    <x:xf numFmtId="0" fontId="38" fillId="0" borderId="10" xfId="0" applyNumberFormat="1" applyFont="1" applyFill="1" applyBorder="1" applyAlignment="1">
      <x:alignment vertical="center"/>
    </x:xf>
    <x:xf numFmtId="214" fontId="38" fillId="45" borderId="10" xfId="0" applyNumberFormat="1" applyFont="1" applyFill="1" applyBorder="1" applyAlignment="1">
      <x:alignment vertical="center"/>
    </x:xf>
    <x:xf numFmtId="222" fontId="38" fillId="46" borderId="10" xfId="0" applyNumberFormat="1" applyFont="1" applyFill="1" applyBorder="1" applyAlignment="1">
      <x:alignment vertical="center"/>
    </x:xf>
    <x:xf numFmtId="0" fontId="38" fillId="0" borderId="23" xfId="0" applyNumberFormat="1" applyFont="1" applyFill="1" applyBorder="1" applyAlignment="1">
      <x:alignment vertical="center"/>
    </x:xf>
    <x:xf numFmtId="214" fontId="38" fillId="45" borderId="23" xfId="0" applyNumberFormat="1" applyFont="1" applyFill="1" applyBorder="1" applyAlignment="1">
      <x:alignment vertical="center"/>
    </x:xf>
    <x:xf numFmtId="222" fontId="38" fillId="46" borderId="23" xfId="0" applyNumberFormat="1" applyFont="1" applyFill="1" applyBorder="1" applyAlignment="1">
      <x:alignment vertical="center"/>
    </x:xf>
    <x:xf numFmtId="0" fontId="38" fillId="45" borderId="0" xfId="0" applyNumberFormat="1" applyFont="1" applyFill="1" applyBorder="1" applyAlignment="1">
      <x:alignment vertical="center" wrapText="1"/>
    </x:xf>
    <x:xf numFmtId="0" fontId="39" fillId="45" borderId="0" xfId="0" applyNumberFormat="1" applyFont="1" applyFill="1" applyBorder="1" applyAlignment="1">
      <x:alignment vertical="center" wrapText="1"/>
    </x:xf>
    <x:xf numFmtId="214" fontId="18" fillId="0" borderId="22" xfId="0" applyNumberFormat="1" applyFont="1" applyFill="1" applyBorder="1" applyAlignment="1">
      <x:alignment horizontal="right" vertical="center"/>
    </x:xf>
    <x:xf numFmtId="214" fontId="38" fillId="0" borderId="22" xfId="0" applyNumberFormat="1" applyFont="1" applyFill="1" applyBorder="1" applyAlignment="1">
      <x:alignment horizontal="right" vertical="center"/>
    </x:xf>
    <x:xf numFmtId="0" fontId="36" fillId="43" borderId="22" xfId="0" applyNumberFormat="1" applyFont="1" applyFill="1" applyBorder="1" applyAlignment="1">
      <x:alignment horizontal="right" vertical="center"/>
    </x:xf>
    <x:xf numFmtId="215" fontId="18" fillId="44" borderId="22" xfId="0" applyNumberFormat="1" applyFont="1" applyFill="1" applyBorder="1" applyAlignment="1">
      <x:alignment horizontal="right" vertical="center"/>
    </x:xf>
    <x:xf numFmtId="214" fontId="43" fillId="44" borderId="22" xfId="0" applyNumberFormat="1" applyFont="1" applyFill="1" applyBorder="1" applyAlignment="1">
      <x:alignment horizontal="right" vertical="center"/>
    </x:xf>
    <x:xf numFmtId="218" fontId="18" fillId="44" borderId="22" xfId="0" applyNumberFormat="1" applyFont="1" applyFill="1" applyBorder="1" applyAlignment="1">
      <x:alignment horizontal="right" vertical="center"/>
    </x:xf>
    <x:xf numFmtId="214" fontId="17" fillId="41" borderId="22" xfId="0" applyNumberFormat="1" applyFont="1" applyFill="1" applyBorder="1" applyAlignment="1">
      <x:alignment horizontal="right" vertical="center"/>
    </x:xf>
    <x:xf numFmtId="213" fontId="17" fillId="41" borderId="22" xfId="0" applyNumberFormat="1" applyFont="1" applyFill="1" applyBorder="1" applyAlignment="1">
      <x:alignment horizontal="right" vertical="center"/>
    </x:xf>
    <x:xf numFmtId="0" fontId="19" fillId="42" borderId="0" xfId="0" applyNumberFormat="1" applyFont="1" applyFill="1" applyBorder="1" applyAlignment="1">
      <x:alignment horizontal="right" vertical="center"/>
    </x:xf>
    <x:xf numFmtId="0" fontId="36" fillId="43" borderId="22" xfId="0" applyNumberFormat="1" applyFont="1" applyFill="1" applyBorder="1" applyAlignment="1">
      <x:alignment horizontal="right" vertical="center" wrapText="1"/>
    </x:xf>
    <x:xf numFmtId="214" fontId="42" fillId="0" borderId="22" xfId="0" applyNumberFormat="1" applyFont="1" applyFill="1" applyBorder="1" applyAlignment="1">
      <x:alignment horizontal="right" vertical="center"/>
    </x:xf>
    <x:xf numFmtId="0" fontId="38" fillId="0" borderId="22" xfId="0" applyNumberFormat="1" applyFont="1" applyFill="1" applyBorder="1" applyAlignment="1">
      <x:alignment horizontal="right" vertical="center" wrapText="1"/>
    </x:xf>
    <x:xf numFmtId="214" fontId="41" fillId="44" borderId="22" xfId="0" applyNumberFormat="1" applyFont="1" applyFill="1" applyBorder="1" applyAlignment="1">
      <x:alignment horizontal="right" vertical="center"/>
    </x:xf>
    <x:xf numFmtId="0" fontId="41" fillId="44" borderId="22" xfId="0" applyNumberFormat="1" applyFont="1" applyFill="1" applyBorder="1" applyAlignment="1">
      <x:alignment horizontal="right" vertical="center" wrapText="1"/>
    </x:xf>
    <x:xf numFmtId="214" fontId="37" fillId="45" borderId="22" xfId="0" applyNumberFormat="1" applyFont="1" applyFill="1" applyBorder="1" applyAlignment="1">
      <x:alignment horizontal="right" vertical="center"/>
    </x:xf>
    <x:xf numFmtId="214" fontId="38" fillId="45" borderId="22" xfId="0" applyNumberFormat="1" applyFont="1" applyFill="1" applyBorder="1" applyAlignment="1">
      <x:alignment horizontal="right" vertical="center"/>
    </x:xf>
    <x:xf numFmtId="0" fontId="44" fillId="43" borderId="0" xfId="0" applyNumberFormat="1" applyFont="1" applyFill="1" applyBorder="1" applyAlignment="1">
      <x:alignment horizontal="right" vertical="center"/>
    </x:xf>
    <x:xf numFmtId="0" fontId="38" fillId="0" borderId="10" xfId="0" applyNumberFormat="1" applyFont="1" applyFill="1" applyBorder="1" applyAlignment="1">
      <x:alignment horizontal="right" vertical="center"/>
    </x:xf>
    <x:xf numFmtId="214" fontId="38" fillId="45" borderId="10" xfId="0" applyNumberFormat="1" applyFont="1" applyFill="1" applyBorder="1" applyAlignment="1">
      <x:alignment horizontal="right" vertical="center"/>
    </x:xf>
    <x:xf numFmtId="0" fontId="38" fillId="0" borderId="23" xfId="0" applyNumberFormat="1" applyFont="1" applyFill="1" applyBorder="1" applyAlignment="1">
      <x:alignment horizontal="right" vertical="center"/>
    </x:xf>
    <x:xf numFmtId="214" fontId="38" fillId="45" borderId="23" xfId="0" applyNumberFormat="1" applyFont="1" applyFill="1" applyBorder="1" applyAlignment="1">
      <x:alignment horizontal="right" vertical="center"/>
    </x:xf>
    <x:xf numFmtId="0" fontId="9" fillId="41" borderId="0" xfId="0" applyNumberFormat="1" applyFont="1" applyFill="1" applyBorder="1"/>
    <x:xf numFmtId="0" fontId="26" fillId="41" borderId="0" xfId="0" applyNumberFormat="1" applyFont="1" applyFill="1" applyBorder="1"/>
    <x:xf numFmtId="0" fontId="0" fillId="41" borderId="22" xfId="0" applyNumberFormat="1" applyFont="1" applyFill="1" applyBorder="1"/>
    <x:xf numFmtId="0" fontId="40" fillId="41" borderId="22" xfId="0" applyNumberFormat="1" applyFont="1" applyFill="1" applyBorder="1"/>
    <x:xf numFmtId="0" fontId="38" fillId="47" borderId="0" xfId="0" applyNumberFormat="1" applyFont="1" applyFill="1" applyBorder="1" applyAlignment="1">
      <x:alignment vertical="center"/>
    </x:xf>
    <x:xf numFmtId="0" fontId="33" fillId="47" borderId="0" xfId="0" applyNumberFormat="1" applyFont="1" applyFill="1" applyBorder="1" applyAlignment="1">
      <x:alignment vertical="center"/>
    </x:xf>
    <x:xf numFmtId="0" fontId="38" fillId="48" borderId="0" xfId="0" applyNumberFormat="1" applyFont="1" applyFill="1" applyBorder="1" applyAlignment="1">
      <x:alignment vertical="center"/>
    </x:xf>
    <x:xf numFmtId="0" fontId="34" fillId="48" borderId="0" xfId="0" applyNumberFormat="1" applyFont="1" applyFill="1" applyBorder="1" applyAlignment="1">
      <x:alignment vertical="center"/>
    </x:xf>
    <x:xf numFmtId="0" fontId="38" fillId="49" borderId="0" xfId="0" applyNumberFormat="1" applyFont="1" applyFill="1" applyBorder="1" applyAlignment="1">
      <x:alignment vertical="center"/>
    </x:xf>
    <x:xf numFmtId="0" fontId="35" fillId="49" borderId="0" xfId="0" applyNumberFormat="1" applyFont="1" applyFill="1" applyBorder="1" applyAlignment="1">
      <x:alignment vertical="center"/>
    </x:xf>
    <x:xf numFmtId="0" fontId="38" fillId="50" borderId="0" xfId="0" applyNumberFormat="1" applyFont="1" applyFill="1" applyBorder="1" applyAlignment="1">
      <x:alignment vertical="center"/>
    </x:xf>
    <x:xf numFmtId="0" fontId="19" fillId="50" borderId="0" xfId="0" applyNumberFormat="1" applyFont="1" applyFill="1" applyBorder="1" applyAlignment="1">
      <x:alignment vertical="center"/>
    </x:xf>
    <x:xf numFmtId="0" fontId="38" fillId="51" borderId="22" xfId="0" applyNumberFormat="1" applyFont="1" applyFill="1" applyBorder="1" applyAlignment="1">
      <x:alignment vertical="center"/>
    </x:xf>
    <x:xf numFmtId="0" fontId="36" fillId="51" borderId="22" xfId="0" applyNumberFormat="1" applyFont="1" applyFill="1" applyBorder="1" applyAlignment="1">
      <x:alignment vertical="center"/>
    </x:xf>
    <x:xf numFmtId="0" fontId="42" fillId="0" borderId="22" xfId="0" applyNumberFormat="1" applyFont="1" applyFill="1" applyBorder="1" applyAlignment="1">
      <x:alignment vertical="center"/>
    </x:xf>
    <x:xf numFmtId="0" fontId="37" fillId="52" borderId="22" xfId="0" applyNumberFormat="1" applyFont="1" applyFill="1" applyBorder="1" applyAlignment="1">
      <x:alignment vertical="center"/>
    </x:xf>
    <x:xf numFmtId="0" fontId="38" fillId="52" borderId="22" xfId="0" applyNumberFormat="1" applyFont="1" applyFill="1" applyBorder="1" applyAlignment="1">
      <x:alignment vertical="center"/>
    </x:xf>
    <x:xf numFmtId="0" fontId="40" fillId="52" borderId="22" xfId="0" applyNumberFormat="1" applyFont="1" applyFill="1" applyBorder="1" applyAlignment="1">
      <x:alignment vertical="center"/>
    </x:xf>
    <x:xf numFmtId="0" fontId="38" fillId="49" borderId="22" xfId="0" applyNumberFormat="1" applyFont="1" applyFill="1" applyBorder="1" applyAlignment="1">
      <x:alignment vertical="center"/>
    </x:xf>
    <x:xf numFmtId="0" fontId="41" fillId="49" borderId="22" xfId="0" applyNumberFormat="1" applyFont="1" applyFill="1" applyBorder="1" applyAlignment="1">
      <x:alignment vertical="center"/>
    </x:xf>
    <x:xf numFmtId="0" fontId="36" fillId="51" borderId="24" xfId="0" applyNumberFormat="1" applyFont="1" applyFill="1" applyBorder="1" applyAlignment="1">
      <x:alignment vertical="center"/>
    </x:xf>
    <x:xf numFmtId="0" fontId="38" fillId="0" borderId="24" xfId="0" applyNumberFormat="1" applyFont="1" applyFill="1" applyBorder="1" applyAlignment="1">
      <x:alignment vertical="center"/>
    </x:xf>
    <x:xf numFmtId="0" fontId="38" fillId="49" borderId="24" xfId="0" applyNumberFormat="1" applyFont="1" applyFill="1" applyBorder="1" applyAlignment="1">
      <x:alignment vertical="center"/>
    </x:xf>
    <x:xf numFmtId="0" fontId="41" fillId="49" borderId="24" xfId="0" applyNumberFormat="1" applyFont="1" applyFill="1" applyBorder="1" applyAlignment="1">
      <x:alignment vertical="center"/>
    </x:xf>
    <x:xf numFmtId="0" fontId="41" fillId="0" borderId="24" xfId="0" applyNumberFormat="1" applyFont="1" applyFill="1" applyBorder="1" applyAlignment="1">
      <x:alignment vertical="center"/>
    </x:xf>
    <x:xf numFmtId="0" fontId="41" fillId="0" borderId="0" xfId="0" applyNumberFormat="1" applyFont="1" applyFill="1" applyBorder="1" applyAlignment="1">
      <x:alignment vertical="center"/>
    </x:xf>
    <x:xf numFmtId="0" fontId="41" fillId="51" borderId="24" xfId="0" applyNumberFormat="1" applyFont="1" applyFill="1" applyBorder="1" applyAlignment="1">
      <x:alignment vertical="center"/>
    </x:xf>
    <x:xf numFmtId="0" fontId="37" fillId="49" borderId="22" xfId="0" applyNumberFormat="1" applyFont="1" applyFill="1" applyBorder="1" applyAlignment="1">
      <x:alignment vertical="center"/>
    </x:xf>
    <x:xf numFmtId="0" fontId="38" fillId="53" borderId="0" xfId="0" applyNumberFormat="1" applyFont="1" applyFill="1" applyBorder="1" applyAlignment="1">
      <x:alignment vertical="center"/>
    </x:xf>
    <x:xf numFmtId="0" fontId="38" fillId="53" borderId="0" xfId="0" applyNumberFormat="1" applyFont="1" applyFill="1" applyBorder="1" applyAlignment="1">
      <x:alignment vertical="center" wrapText="1"/>
    </x:xf>
    <x:xf numFmtId="0" fontId="39" fillId="53" borderId="0" xfId="0" applyNumberFormat="1" applyFont="1" applyFill="1" applyBorder="1" applyAlignment="1">
      <x:alignment vertical="center" wrapText="1"/>
    </x:xf>
    <x:xf numFmtId="213" fontId="42" fillId="0" borderId="22" xfId="0" applyNumberFormat="1" applyFont="1" applyFill="1" applyBorder="1" applyAlignment="1">
      <x:alignment vertical="center"/>
    </x:xf>
    <x:xf numFmtId="213" fontId="37" fillId="52" borderId="22" xfId="0" applyNumberFormat="1" applyFont="1" applyFill="1" applyBorder="1" applyAlignment="1">
      <x:alignment vertical="center"/>
    </x:xf>
    <x:xf numFmtId="213" fontId="38" fillId="52" borderId="22" xfId="0" applyNumberFormat="1" applyFont="1" applyFill="1" applyBorder="1" applyAlignment="1">
      <x:alignment vertical="center"/>
    </x:xf>
    <x:xf numFmtId="215" fontId="37" fillId="52" borderId="22" xfId="0" applyNumberFormat="1" applyFont="1" applyFill="1" applyBorder="1" applyAlignment="1">
      <x:alignment vertical="center"/>
    </x:xf>
    <x:xf numFmtId="214" fontId="37" fillId="52" borderId="22" xfId="0" applyNumberFormat="1" applyFont="1" applyFill="1" applyBorder="1" applyAlignment="1">
      <x:alignment vertical="center"/>
    </x:xf>
    <x:xf numFmtId="200" fontId="37" fillId="52" borderId="22" xfId="0" applyNumberFormat="1" applyFont="1" applyFill="1" applyBorder="1" applyAlignment="1">
      <x:alignment vertical="center"/>
    </x:xf>
    <x:xf numFmtId="215" fontId="40" fillId="52" borderId="22" xfId="0" applyNumberFormat="1" applyFont="1" applyFill="1" applyBorder="1" applyAlignment="1">
      <x:alignment vertical="center"/>
    </x:xf>
    <x:xf numFmtId="218" fontId="40" fillId="52" borderId="22" xfId="0" applyNumberFormat="1" applyFont="1" applyFill="1" applyBorder="1" applyAlignment="1">
      <x:alignment vertical="center"/>
    </x:xf>
    <x:xf numFmtId="215" fontId="41" fillId="49" borderId="22" xfId="0" applyNumberFormat="1" applyFont="1" applyFill="1" applyBorder="1" applyAlignment="1">
      <x:alignment vertical="center"/>
    </x:xf>
    <x:xf numFmtId="221" fontId="41" fillId="49" borderId="22" xfId="0" applyNumberFormat="1" applyFont="1" applyFill="1" applyBorder="1" applyAlignment="1">
      <x:alignment vertical="center"/>
    </x:xf>
    <x:xf numFmtId="218" fontId="41" fillId="49" borderId="22" xfId="0" applyNumberFormat="1" applyFont="1" applyFill="1" applyBorder="1" applyAlignment="1">
      <x:alignment vertical="center"/>
    </x:xf>
    <x:xf numFmtId="215" fontId="38" fillId="0" borderId="22" xfId="0" applyNumberFormat="1" applyFont="1" applyFill="1" applyBorder="1" applyAlignment="1">
      <x:alignment vertical="center"/>
    </x:xf>
    <x:xf numFmtId="215" fontId="41" fillId="49" borderId="24" xfId="0" applyNumberFormat="1" applyFont="1" applyFill="1" applyBorder="1" applyAlignment="1">
      <x:alignment vertical="center"/>
    </x:xf>
    <x:xf numFmtId="215" fontId="38" fillId="0" borderId="0" xfId="0" applyNumberFormat="1" applyFont="1" applyFill="1" applyBorder="1" applyAlignment="1">
      <x:alignment vertical="center"/>
    </x:xf>
    <x:xf numFmtId="215" fontId="38" fillId="49" borderId="22" xfId="0" applyNumberFormat="1" applyFont="1" applyFill="1" applyBorder="1" applyAlignment="1">
      <x:alignment vertical="center"/>
    </x:xf>
    <x:xf numFmtId="218" fontId="38" fillId="49" borderId="22" xfId="0" applyNumberFormat="1" applyFont="1" applyFill="1" applyBorder="1" applyAlignment="1">
      <x:alignment vertical="center"/>
    </x:xf>
    <x:xf numFmtId="221" fontId="38" fillId="0" borderId="22" xfId="0" applyNumberFormat="1" applyFont="1" applyFill="1" applyBorder="1" applyAlignment="1">
      <x:alignment vertical="center"/>
    </x:xf>
    <x:xf numFmtId="213" fontId="38" fillId="49" borderId="22" xfId="0" applyNumberFormat="1" applyFont="1" applyFill="1" applyBorder="1" applyAlignment="1">
      <x:alignment vertical="center"/>
    </x:xf>
    <x:xf numFmtId="218" fontId="37" fillId="52" borderId="22" xfId="0" applyNumberFormat="1" applyFont="1" applyFill="1" applyBorder="1" applyAlignment="1">
      <x:alignment vertical="center"/>
    </x:xf>
    <x:xf numFmtId="215" fontId="37" fillId="49" borderId="22" xfId="0" applyNumberFormat="1" applyFont="1" applyFill="1" applyBorder="1" applyAlignment="1">
      <x:alignment vertical="center"/>
    </x:xf>
    <x:xf numFmtId="0" fontId="19" fillId="50" borderId="0" xfId="0" applyNumberFormat="1" applyFont="1" applyFill="1" applyBorder="1" applyAlignment="1">
      <x:alignment vertical="center" wrapText="1"/>
    </x:xf>
    <x:xf numFmtId="0" fontId="41" fillId="0" borderId="24" xfId="0" applyNumberFormat="1" applyFont="1" applyFill="1" applyBorder="1" applyAlignment="1">
      <x:alignment vertical="center" wrapText="1"/>
    </x:xf>
    <x:xf numFmtId="0" fontId="38" fillId="0" borderId="24" xfId="0" applyNumberFormat="1" applyFont="1" applyFill="1" applyBorder="1" applyAlignment="1">
      <x:alignment vertical="center" wrapText="1"/>
    </x:xf>
    <x:xf numFmtId="0" fontId="37" fillId="4" borderId="0" xfId="0" applyNumberFormat="1" applyFont="1" applyFill="1" applyBorder="1"/>
    <x:xf numFmtId="200" fontId="37" fillId="4" borderId="0" xfId="0" applyNumberFormat="1" applyFont="1" applyFill="1" applyBorder="1"/>
    <x:xf numFmtId="202" fontId="42" fillId="4" borderId="0" xfId="0" applyNumberFormat="1" applyFont="1" applyFill="1" applyBorder="1"/>
    <x:xf numFmtId="203" fontId="42" fillId="4" borderId="0" xfId="0" applyNumberFormat="1" applyFont="1" applyFill="1" applyBorder="1"/>
    <x:xf numFmtId="203" fontId="37" fillId="4" borderId="0" xfId="0" applyNumberFormat="1" applyFont="1" applyFill="1" applyBorder="1"/>
    <x:xf numFmtId="203" fontId="38" fillId="4" borderId="0" xfId="0" applyNumberFormat="1" applyFont="1" applyFill="1" applyBorder="1"/>
    <x:xf numFmtId="214" fontId="42" fillId="4" borderId="0" xfId="0" applyNumberFormat="1" applyFont="1" applyFill="1" applyBorder="1"/>
    <x:xf numFmtId="213" fontId="42" fillId="4" borderId="0" xfId="0" applyNumberFormat="1" applyFont="1" applyFill="1" applyBorder="1"/>
    <x:xf numFmtId="213" fontId="37" fillId="4" borderId="0" xfId="0" applyNumberFormat="1" applyFont="1" applyFill="1" applyBorder="1"/>
    <x:xf numFmtId="213" fontId="38" fillId="4" borderId="0" xfId="0" applyNumberFormat="1" applyFont="1" applyFill="1" applyBorder="1"/>
    <x:xf numFmtId="0" fontId="9" fillId="49" borderId="0" xfId="0" applyNumberFormat="1" applyFont="1" applyFill="1" applyBorder="1"/>
    <x:xf numFmtId="0" fontId="26" fillId="49" borderId="0" xfId="0" applyNumberFormat="1" applyFont="1" applyFill="1" applyBorder="1"/>
    <x:xf numFmtId="0" fontId="0" fillId="49" borderId="22" xfId="0" applyNumberFormat="1" applyFont="1" applyFill="1" applyBorder="1"/>
    <x:xf numFmtId="0" fontId="40" fillId="49" borderId="22" xfId="0" applyNumberFormat="1" applyFont="1" applyFill="1" applyBorder="1"/>
    <x:xf numFmtId="0" fontId="38" fillId="54" borderId="0" xfId="0" applyNumberFormat="1" applyFont="1" applyFill="1" applyBorder="1" applyAlignment="1">
      <x:alignment vertical="center"/>
    </x:xf>
    <x:xf numFmtId="0" fontId="33" fillId="54" borderId="0" xfId="0" applyNumberFormat="1" applyFont="1" applyFill="1" applyBorder="1" applyAlignment="1">
      <x:alignment vertical="center"/>
    </x:xf>
    <x:xf numFmtId="0" fontId="38" fillId="55" borderId="0" xfId="0" applyNumberFormat="1" applyFont="1" applyFill="1" applyBorder="1" applyAlignment="1">
      <x:alignment vertical="center"/>
    </x:xf>
    <x:xf numFmtId="0" fontId="34" fillId="55" borderId="0" xfId="0" applyNumberFormat="1" applyFont="1" applyFill="1" applyBorder="1" applyAlignment="1">
      <x:alignment vertical="center"/>
    </x:xf>
    <x:xf numFmtId="0" fontId="38" fillId="56" borderId="0" xfId="0" applyNumberFormat="1" applyFont="1" applyFill="1" applyBorder="1" applyAlignment="1">
      <x:alignment vertical="center"/>
    </x:xf>
    <x:xf numFmtId="0" fontId="35" fillId="56" borderId="0" xfId="0" applyNumberFormat="1" applyFont="1" applyFill="1" applyBorder="1" applyAlignment="1">
      <x:alignment vertical="center"/>
    </x:xf>
    <x:xf numFmtId="0" fontId="38" fillId="57" borderId="0" xfId="0" applyNumberFormat="1" applyFont="1" applyFill="1" applyBorder="1" applyAlignment="1">
      <x:alignment vertical="center"/>
    </x:xf>
    <x:xf numFmtId="0" fontId="19" fillId="57" borderId="0" xfId="0" applyNumberFormat="1" applyFont="1" applyFill="1" applyBorder="1" applyAlignment="1">
      <x:alignment vertical="center"/>
    </x:xf>
    <x:xf numFmtId="0" fontId="38" fillId="58" borderId="22" xfId="0" applyNumberFormat="1" applyFont="1" applyFill="1" applyBorder="1" applyAlignment="1">
      <x:alignment vertical="center"/>
    </x:xf>
    <x:xf numFmtId="0" fontId="36" fillId="58" borderId="22" xfId="0" applyNumberFormat="1" applyFont="1" applyFill="1" applyBorder="1" applyAlignment="1">
      <x:alignment vertical="center"/>
    </x:xf>
    <x:xf numFmtId="0" fontId="37" fillId="59" borderId="22" xfId="0" applyNumberFormat="1" applyFont="1" applyFill="1" applyBorder="1" applyAlignment="1">
      <x:alignment vertical="center"/>
    </x:xf>
    <x:xf numFmtId="0" fontId="38" fillId="55" borderId="22" xfId="0" applyNumberFormat="1" applyFont="1" applyFill="1" applyBorder="1" applyAlignment="1">
      <x:alignment vertical="center"/>
    </x:xf>
    <x:xf numFmtId="0" fontId="36" fillId="55" borderId="22" xfId="0" applyNumberFormat="1" applyFont="1" applyFill="1" applyBorder="1" applyAlignment="1">
      <x:alignment vertical="center"/>
    </x:xf>
    <x:xf numFmtId="0" fontId="41" fillId="0" borderId="22" xfId="0" applyNumberFormat="1" applyFont="1" applyFill="1" applyBorder="1" applyAlignment="1">
      <x:alignment vertical="center"/>
    </x:xf>
    <x:xf numFmtId="0" fontId="36" fillId="58" borderId="24" xfId="0" applyNumberFormat="1" applyFont="1" applyFill="1" applyBorder="1" applyAlignment="1">
      <x:alignment vertical="center"/>
    </x:xf>
    <x:xf numFmtId="0" fontId="38" fillId="56" borderId="22" xfId="0" applyNumberFormat="1" applyFont="1" applyFill="1" applyBorder="1" applyAlignment="1">
      <x:alignment vertical="center"/>
    </x:xf>
    <x:xf numFmtId="0" fontId="41" fillId="56" borderId="22" xfId="0" applyNumberFormat="1" applyFont="1" applyFill="1" applyBorder="1" applyAlignment="1">
      <x:alignment vertical="center"/>
    </x:xf>
    <x:xf numFmtId="0" fontId="38" fillId="60" borderId="22" xfId="0" applyNumberFormat="1" applyFont="1" applyFill="1" applyBorder="1" applyAlignment="1">
      <x:alignment vertical="center"/>
    </x:xf>
    <x:xf numFmtId="0" fontId="41" fillId="60" borderId="22" xfId="0" applyNumberFormat="1" applyFont="1" applyFill="1" applyBorder="1" applyAlignment="1">
      <x:alignment vertical="center"/>
    </x:xf>
    <x:xf numFmtId="0" fontId="38" fillId="56" borderId="24" xfId="0" applyNumberFormat="1" applyFont="1" applyFill="1" applyBorder="1" applyAlignment="1">
      <x:alignment vertical="center"/>
    </x:xf>
    <x:xf numFmtId="0" fontId="38" fillId="59" borderId="22" xfId="0" applyNumberFormat="1" applyFont="1" applyFill="1" applyBorder="1" applyAlignment="1">
      <x:alignment vertical="center"/>
    </x:xf>
    <x:xf numFmtId="0" fontId="38" fillId="60" borderId="0" xfId="0" applyNumberFormat="1" applyFont="1" applyFill="1" applyBorder="1" applyAlignment="1">
      <x:alignment vertical="center"/>
    </x:xf>
    <x:xf numFmtId="0" fontId="38" fillId="60" borderId="0" xfId="0" applyNumberFormat="1" applyFont="1" applyFill="1" applyBorder="1" applyAlignment="1">
      <x:alignment vertical="center" wrapText="1"/>
    </x:xf>
    <x:xf numFmtId="0" fontId="39" fillId="60" borderId="0" xfId="0" applyNumberFormat="1" applyFont="1" applyFill="1" applyBorder="1" applyAlignment="1">
      <x:alignment vertical="center" wrapText="1"/>
    </x:xf>
    <x:xf numFmtId="215" fontId="42" fillId="0" borderId="22" xfId="0" applyNumberFormat="1" applyFont="1" applyFill="1" applyBorder="1" applyAlignment="1">
      <x:alignment vertical="center"/>
    </x:xf>
    <x:xf numFmtId="213" fontId="37" fillId="59" borderId="22" xfId="0" applyNumberFormat="1" applyFont="1" applyFill="1" applyBorder="1" applyAlignment="1">
      <x:alignment vertical="center"/>
    </x:xf>
    <x:xf numFmtId="201" fontId="37" fillId="59" borderId="22" xfId="0" applyNumberFormat="1" applyFont="1" applyFill="1" applyBorder="1" applyAlignment="1">
      <x:alignment vertical="center"/>
    </x:xf>
    <x:xf numFmtId="200" fontId="42" fillId="0" borderId="22" xfId="0" applyNumberFormat="1" applyFont="1" applyFill="1" applyBorder="1" applyAlignment="1">
      <x:alignment vertical="center"/>
    </x:xf>
    <x:xf numFmtId="213" fontId="41" fillId="0" borderId="24" xfId="0" applyNumberFormat="1" applyFont="1" applyFill="1" applyBorder="1" applyAlignment="1">
      <x:alignment vertical="center"/>
    </x:xf>
    <x:xf numFmtId="215" fontId="41" fillId="0" borderId="24" xfId="0" applyNumberFormat="1" applyFont="1" applyFill="1" applyBorder="1" applyAlignment="1">
      <x:alignment vertical="center"/>
    </x:xf>
    <x:xf numFmtId="209" fontId="37" fillId="59" borderId="22" xfId="0" applyNumberFormat="1" applyFont="1" applyFill="1" applyBorder="1" applyAlignment="1">
      <x:alignment vertical="center"/>
    </x:xf>
    <x:xf numFmtId="215" fontId="41" fillId="56" borderId="22" xfId="0" applyNumberFormat="1" applyFont="1" applyFill="1" applyBorder="1" applyAlignment="1">
      <x:alignment vertical="center"/>
    </x:xf>
    <x:xf numFmtId="213" fontId="41" fillId="56" borderId="22" xfId="0" applyNumberFormat="1" applyFont="1" applyFill="1" applyBorder="1" applyAlignment="1">
      <x:alignment vertical="center"/>
    </x:xf>
    <x:xf numFmtId="224" fontId="41" fillId="60" borderId="22" xfId="0" applyNumberFormat="1" applyFont="1" applyFill="1" applyBorder="1" applyAlignment="1">
      <x:alignment vertical="center"/>
    </x:xf>
    <x:xf numFmtId="201" fontId="38" fillId="55" borderId="22" xfId="0" applyNumberFormat="1" applyFont="1" applyFill="1" applyBorder="1" applyAlignment="1">
      <x:alignment vertical="center"/>
    </x:xf>
    <x:xf numFmtId="215" fontId="38" fillId="56" borderId="24" xfId="0" applyNumberFormat="1" applyFont="1" applyFill="1" applyBorder="1" applyAlignment="1">
      <x:alignment vertical="center"/>
    </x:xf>
    <x:xf numFmtId="215" fontId="19" fillId="57" borderId="0" xfId="0" applyNumberFormat="1" applyFont="1" applyFill="1" applyBorder="1" applyAlignment="1">
      <x:alignment vertical="center"/>
    </x:xf>
    <x:xf numFmtId="215" fontId="38" fillId="56" borderId="22" xfId="0" applyNumberFormat="1" applyFont="1" applyFill="1" applyBorder="1" applyAlignment="1">
      <x:alignment vertical="center"/>
    </x:xf>
    <x:xf numFmtId="213" fontId="38" fillId="59" borderId="22" xfId="0" applyNumberFormat="1" applyFont="1" applyFill="1" applyBorder="1" applyAlignment="1">
      <x:alignment vertical="center"/>
    </x:xf>
    <x:xf numFmtId="0" fontId="36" fillId="55" borderId="22" xfId="0" applyNumberFormat="1" applyFont="1" applyFill="1" applyBorder="1" applyAlignment="1">
      <x:alignment vertical="center" wrapText="1"/>
    </x:xf>
    <x:xf numFmtId="0" fontId="19" fillId="57" borderId="0" xfId="0" applyNumberFormat="1" applyFont="1" applyFill="1" applyBorder="1" applyAlignment="1">
      <x:alignment vertical="center" wrapText="1"/>
    </x:xf>
    <x:xf numFmtId="0" fontId="9" fillId="56" borderId="0" xfId="0" applyNumberFormat="1" applyFont="1" applyFill="1" applyBorder="1"/>
    <x:xf numFmtId="0" fontId="26" fillId="56" borderId="0" xfId="0" applyNumberFormat="1" applyFont="1" applyFill="1" applyBorder="1"/>
    <x:xf numFmtId="0" fontId="0" fillId="56" borderId="22" xfId="0" applyNumberFormat="1" applyFont="1" applyFill="1" applyBorder="1"/>
    <x:xf numFmtId="0" fontId="40" fillId="56" borderId="22" xfId="0" applyNumberFormat="1" applyFont="1" applyFill="1" applyBorder="1"/>
    <x:xf numFmtId="0" fontId="38" fillId="61" borderId="0" xfId="0" applyNumberFormat="1" applyFont="1" applyFill="1" applyBorder="1" applyAlignment="1">
      <x:alignment vertical="center"/>
    </x:xf>
    <x:xf numFmtId="0" fontId="33" fillId="61" borderId="0" xfId="0" applyNumberFormat="1" applyFont="1" applyFill="1" applyBorder="1" applyAlignment="1">
      <x:alignment vertical="center"/>
    </x:xf>
    <x:xf numFmtId="0" fontId="38" fillId="62" borderId="0" xfId="0" applyNumberFormat="1" applyFont="1" applyFill="1" applyBorder="1" applyAlignment="1">
      <x:alignment vertical="center"/>
    </x:xf>
    <x:xf numFmtId="0" fontId="34" fillId="62" borderId="0" xfId="0" applyNumberFormat="1" applyFont="1" applyFill="1" applyBorder="1" applyAlignment="1">
      <x:alignment vertical="center"/>
    </x:xf>
    <x:xf numFmtId="0" fontId="38" fillId="63" borderId="0" xfId="0" applyNumberFormat="1" applyFont="1" applyFill="1" applyBorder="1" applyAlignment="1">
      <x:alignment vertical="center"/>
    </x:xf>
    <x:xf numFmtId="0" fontId="35" fillId="63" borderId="0" xfId="0" applyNumberFormat="1" applyFont="1" applyFill="1" applyBorder="1" applyAlignment="1">
      <x:alignment vertical="center"/>
    </x:xf>
    <x:xf numFmtId="0" fontId="38" fillId="64" borderId="0" xfId="0" applyNumberFormat="1" applyFont="1" applyFill="1" applyBorder="1" applyAlignment="1">
      <x:alignment vertical="center"/>
    </x:xf>
    <x:xf numFmtId="0" fontId="19" fillId="64" borderId="0" xfId="0" applyNumberFormat="1" applyFont="1" applyFill="1" applyBorder="1" applyAlignment="1">
      <x:alignment vertical="center"/>
    </x:xf>
    <x:xf numFmtId="0" fontId="38" fillId="65" borderId="22" xfId="0" applyNumberFormat="1" applyFont="1" applyFill="1" applyBorder="1" applyAlignment="1">
      <x:alignment vertical="center"/>
    </x:xf>
    <x:xf numFmtId="0" fontId="36" fillId="65" borderId="22" xfId="0" applyNumberFormat="1" applyFont="1" applyFill="1" applyBorder="1" applyAlignment="1">
      <x:alignment vertical="center"/>
    </x:xf>
    <x:xf numFmtId="0" fontId="37" fillId="66" borderId="22" xfId="0" applyNumberFormat="1" applyFont="1" applyFill="1" applyBorder="1" applyAlignment="1">
      <x:alignment vertical="center"/>
    </x:xf>
    <x:xf numFmtId="0" fontId="38" fillId="67" borderId="22" xfId="0" applyNumberFormat="1" applyFont="1" applyFill="1" applyBorder="1" applyAlignment="1">
      <x:alignment vertical="center"/>
    </x:xf>
    <x:xf numFmtId="0" fontId="45" fillId="67" borderId="22" xfId="0" applyNumberFormat="1" applyFont="1" applyFill="1" applyBorder="1" applyAlignment="1">
      <x:alignment vertical="center"/>
    </x:xf>
    <x:xf numFmtId="0" fontId="38" fillId="63" borderId="22" xfId="0" applyNumberFormat="1" applyFont="1" applyFill="1" applyBorder="1" applyAlignment="1">
      <x:alignment vertical="center"/>
    </x:xf>
    <x:xf numFmtId="0" fontId="41" fillId="63" borderId="22" xfId="0" applyNumberFormat="1" applyFont="1" applyFill="1" applyBorder="1" applyAlignment="1">
      <x:alignment vertical="center"/>
    </x:xf>
    <x:xf numFmtId="0" fontId="38" fillId="68" borderId="22" xfId="0" applyNumberFormat="1" applyFont="1" applyFill="1" applyBorder="1" applyAlignment="1">
      <x:alignment vertical="center"/>
    </x:xf>
    <x:xf numFmtId="0" fontId="41" fillId="68" borderId="22" xfId="0" applyNumberFormat="1" applyFont="1" applyFill="1" applyBorder="1" applyAlignment="1">
      <x:alignment vertical="center"/>
    </x:xf>
    <x:xf numFmtId="0" fontId="36" fillId="65" borderId="24" xfId="0" applyNumberFormat="1" applyFont="1" applyFill="1" applyBorder="1" applyAlignment="1">
      <x:alignment vertical="center"/>
    </x:xf>
    <x:xf numFmtId="0" fontId="38" fillId="67" borderId="24" xfId="0" applyNumberFormat="1" applyFont="1" applyFill="1" applyBorder="1" applyAlignment="1">
      <x:alignment vertical="center"/>
    </x:xf>
    <x:xf numFmtId="0" fontId="40" fillId="63" borderId="22" xfId="0" applyNumberFormat="1" applyFont="1" applyFill="1" applyBorder="1" applyAlignment="1">
      <x:alignment vertical="center"/>
    </x:xf>
    <x:xf numFmtId="0" fontId="38" fillId="68" borderId="0" xfId="0" applyNumberFormat="1" applyFont="1" applyFill="1" applyBorder="1" applyAlignment="1">
      <x:alignment vertical="center"/>
    </x:xf>
    <x:xf numFmtId="0" fontId="38" fillId="68" borderId="0" xfId="0" applyNumberFormat="1" applyFont="1" applyFill="1" applyBorder="1" applyAlignment="1">
      <x:alignment vertical="center" wrapText="1"/>
    </x:xf>
    <x:xf numFmtId="0" fontId="39" fillId="68" borderId="0" xfId="0" applyNumberFormat="1" applyFont="1" applyFill="1" applyBorder="1" applyAlignment="1">
      <x:alignment vertical="center" wrapText="1"/>
    </x:xf>
    <x:xf numFmtId="213" fontId="37" fillId="66" borderId="22" xfId="0" applyNumberFormat="1" applyFont="1" applyFill="1" applyBorder="1" applyAlignment="1">
      <x:alignment vertical="center"/>
    </x:xf>
    <x:xf numFmtId="209" fontId="37" fillId="66" borderId="22" xfId="0" applyNumberFormat="1" applyFont="1" applyFill="1" applyBorder="1" applyAlignment="1">
      <x:alignment vertical="center"/>
    </x:xf>
    <x:xf numFmtId="213" fontId="45" fillId="67" borderId="22" xfId="0" applyNumberFormat="1" applyFont="1" applyFill="1" applyBorder="1" applyAlignment="1">
      <x:alignment vertical="center"/>
    </x:xf>
    <x:xf numFmtId="215" fontId="45" fillId="67" borderId="22" xfId="0" applyNumberFormat="1" applyFont="1" applyFill="1" applyBorder="1" applyAlignment="1">
      <x:alignment vertical="center"/>
    </x:xf>
    <x:xf numFmtId="213" fontId="41" fillId="63" borderId="22" xfId="0" applyNumberFormat="1" applyFont="1" applyFill="1" applyBorder="1" applyAlignment="1">
      <x:alignment vertical="center"/>
    </x:xf>
    <x:xf numFmtId="224" fontId="41" fillId="68" borderId="22" xfId="0" applyNumberFormat="1" applyFont="1" applyFill="1" applyBorder="1" applyAlignment="1">
      <x:alignment vertical="center"/>
    </x:xf>
    <x:xf numFmtId="215" fontId="38" fillId="0" borderId="24" xfId="0" applyNumberFormat="1" applyFont="1" applyFill="1" applyBorder="1" applyAlignment="1">
      <x:alignment vertical="center"/>
    </x:xf>
    <x:xf numFmtId="214" fontId="38" fillId="67" borderId="22" xfId="0" applyNumberFormat="1" applyFont="1" applyFill="1" applyBorder="1" applyAlignment="1">
      <x:alignment vertical="center"/>
    </x:xf>
    <x:xf numFmtId="213" fontId="38" fillId="67" borderId="24" xfId="0" applyNumberFormat="1" applyFont="1" applyFill="1" applyBorder="1" applyAlignment="1">
      <x:alignment vertical="center"/>
    </x:xf>
    <x:xf numFmtId="215" fontId="38" fillId="67" borderId="22" xfId="0" applyNumberFormat="1" applyFont="1" applyFill="1" applyBorder="1" applyAlignment="1">
      <x:alignment vertical="center"/>
    </x:xf>
    <x:xf numFmtId="213" fontId="38" fillId="67" borderId="22" xfId="0" applyNumberFormat="1" applyFont="1" applyFill="1" applyBorder="1" applyAlignment="1">
      <x:alignment vertical="center"/>
    </x:xf>
    <x:xf numFmtId="225" fontId="40" fillId="63" borderId="22" xfId="0" applyNumberFormat="1" applyFont="1" applyFill="1" applyBorder="1" applyAlignment="1">
      <x:alignment vertical="center"/>
    </x:xf>
    <x:xf numFmtId="0" fontId="9" fillId="63" borderId="0" xfId="0" applyNumberFormat="1" applyFont="1" applyFill="1" applyBorder="1"/>
    <x:xf numFmtId="0" fontId="26" fillId="63" borderId="0" xfId="0" applyNumberFormat="1" applyFont="1" applyFill="1" applyBorder="1"/>
    <x:xf numFmtId="0" fontId="0" fillId="63" borderId="22" xfId="0" applyNumberFormat="1" applyFont="1" applyFill="1" applyBorder="1"/>
    <x:xf numFmtId="0" fontId="40" fillId="63" borderId="22" xfId="0" applyNumberFormat="1" applyFont="1" applyFill="1" applyBorder="1"/>
    <x:xf numFmtId="0" fontId="0" fillId="69" borderId="0" xfId="0" applyNumberFormat="1" applyFont="1" applyFill="1" applyBorder="1"/>
    <x:xf numFmtId="0" fontId="1" fillId="69" borderId="0" xfId="0" applyNumberFormat="1" applyFont="1" applyFill="1" applyBorder="1"/>
    <x:xf numFmtId="0" fontId="1" fillId="69" borderId="0" xfId="0" applyNumberFormat="1" applyFont="1" applyFill="1" applyBorder="1" applyAlignment="1">
      <x:alignment vertical="center"/>
    </x:xf>
    <x:xf numFmtId="0" fontId="0" fillId="70" borderId="0" xfId="0" applyNumberFormat="1" applyFont="1" applyFill="1" applyBorder="1"/>
    <x:xf numFmtId="0" fontId="2" fillId="70" borderId="0" xfId="0" applyNumberFormat="1" applyFont="1" applyFill="1" applyBorder="1"/>
    <x:xf numFmtId="0" fontId="2" fillId="70" borderId="0" xfId="0" applyNumberFormat="1" applyFont="1" applyFill="1" applyBorder="1" applyAlignment="1">
      <x:alignment vertical="center"/>
    </x:xf>
    <x:xf numFmtId="0" fontId="0" fillId="71" borderId="0" xfId="0" applyNumberFormat="1" applyFont="1" applyFill="1" applyBorder="1"/>
    <x:xf numFmtId="0" fontId="4" fillId="71" borderId="0" xfId="0" applyNumberFormat="1" applyFont="1" applyFill="1" applyBorder="1"/>
    <x:xf numFmtId="0" fontId="0" fillId="72" borderId="0" xfId="0" applyNumberFormat="1" applyFont="1" applyFill="1" applyBorder="1"/>
    <x:xf numFmtId="0" fontId="3" fillId="72" borderId="0" xfId="0" applyNumberFormat="1" applyFont="1" applyFill="1" applyBorder="1"/>
    <x:xf numFmtId="0" fontId="0" fillId="73" borderId="0" xfId="0" applyNumberFormat="1" applyFont="1" applyFill="1" applyBorder="1"/>
    <x:xf numFmtId="0" fontId="4" fillId="73" borderId="0" xfId="0" applyNumberFormat="1" applyFont="1" applyFill="1" applyBorder="1"/>
    <x:xf numFmtId="0" fontId="4" fillId="73" borderId="0" xfId="0" applyNumberFormat="1" applyFont="1" applyFill="1" applyBorder="1" applyAlignment="1">
      <x:alignment wrapText="1"/>
    </x:xf>
    <x:xf numFmtId="0" fontId="0" fillId="74" borderId="0" xfId="0" applyNumberFormat="1" applyFont="1" applyFill="1" applyBorder="1"/>
    <x:xf numFmtId="0" fontId="5" fillId="74" borderId="0" xfId="0" applyNumberFormat="1" applyFont="1" applyFill="1" applyBorder="1"/>
    <x:xf numFmtId="0" fontId="5" fillId="74" borderId="0" xfId="0" applyNumberFormat="1" applyFont="1" applyFill="1" applyBorder="1" applyAlignment="1">
      <x:alignment vertical="center"/>
    </x:xf>
    <x:xf numFmtId="0" fontId="0" fillId="75" borderId="0" xfId="0" applyNumberFormat="1" applyFont="1" applyFill="1" applyBorder="1"/>
    <x:xf numFmtId="0" fontId="46" fillId="75" borderId="0" xfId="0" applyNumberFormat="1" applyFont="1" applyFill="1" applyBorder="1"/>
    <x:xf numFmtId="0" fontId="46" fillId="75" borderId="1" xfId="0" applyNumberFormat="1" applyFont="1" applyFill="1" applyBorder="1"/>
    <x:xf numFmtId="0" fontId="46" fillId="75" borderId="2" xfId="0" applyNumberFormat="1" applyFont="1" applyFill="1" applyBorder="1"/>
    <x:xf numFmtId="0" fontId="46" fillId="75" borderId="3" xfId="0" applyNumberFormat="1" applyFont="1" applyFill="1" applyBorder="1"/>
    <x:xf numFmtId="0" fontId="46" fillId="75" borderId="1" xfId="0" applyNumberFormat="1" applyFont="1" applyFill="1" applyBorder="1" applyAlignment="1">
      <x:alignment vertical="center"/>
    </x:xf>
    <x:xf numFmtId="0" fontId="46" fillId="75" borderId="2" xfId="0" applyNumberFormat="1" applyFont="1" applyFill="1" applyBorder="1" applyAlignment="1">
      <x:alignment vertical="center"/>
    </x:xf>
    <x:xf numFmtId="0" fontId="46" fillId="75" borderId="3" xfId="0" applyNumberFormat="1" applyFont="1" applyFill="1" applyBorder="1" applyAlignment="1">
      <x:alignment vertical="center"/>
    </x:xf>
    <x:xf numFmtId="0" fontId="47" fillId="0" borderId="0" xfId="0" applyNumberFormat="1" applyFont="1" applyFill="1" applyBorder="1"/>
    <x:xf numFmtId="0" fontId="47" fillId="0" borderId="25" xfId="0" applyNumberFormat="1" applyFont="1" applyFill="1" applyBorder="1"/>
    <x:xf numFmtId="0" fontId="48" fillId="0" borderId="0" xfId="0" applyNumberFormat="1" applyFont="1" applyFill="1" applyBorder="1"/>
    <x:xf numFmtId="0" fontId="49" fillId="0" borderId="0" xfId="0" applyNumberFormat="1" applyFont="1" applyFill="1" applyBorder="1"/>
    <x:xf numFmtId="206" fontId="48" fillId="0" borderId="0" xfId="0" applyNumberFormat="1" applyFont="1" applyFill="1" applyBorder="1"/>
    <x:xf numFmtId="206" fontId="49" fillId="0" borderId="0" xfId="0" applyNumberFormat="1" applyFont="1" applyFill="1" applyBorder="1"/>
    <x:xf numFmtId="203" fontId="49" fillId="0" borderId="0" xfId="0" applyNumberFormat="1" applyFont="1" applyFill="1" applyBorder="1"/>
    <x:xf numFmtId="206" fontId="0" fillId="0" borderId="0" xfId="0" applyNumberFormat="1" applyFont="1" applyFill="1" applyBorder="1"/>
    <x:xf numFmtId="206" fontId="47" fillId="0" borderId="25" xfId="0" applyNumberFormat="1" applyFont="1" applyFill="1" applyBorder="1"/>
    <x:xf numFmtId="210" fontId="49" fillId="0" borderId="0" xfId="0" applyNumberFormat="1" applyFont="1" applyFill="1" applyBorder="1"/>
    <x:xf numFmtId="0" fontId="0" fillId="0" borderId="0" xfId="0" applyNumberFormat="1" applyFont="1" applyFill="1" applyBorder="1"/>
    <x:xf numFmtId="0" fontId="50" fillId="0" borderId="0" xfId="0" applyNumberFormat="1" applyFont="1" applyFill="1" applyBorder="1"/>
    <x:xf numFmtId="0" fontId="50" fillId="0" borderId="0" xfId="0" applyNumberFormat="1" applyFont="1" applyFill="1" applyBorder="1" applyAlignment="1">
      <x:alignment wrapText="1"/>
    </x:xf>
    <x:xf numFmtId="0" fontId="47" fillId="72" borderId="0" xfId="0" applyNumberFormat="1" applyFont="1" applyFill="1" applyBorder="1"/>
    <x:xf numFmtId="0" fontId="0" fillId="76" borderId="0" xfId="0" applyNumberFormat="1" applyFont="1" applyFill="1" applyBorder="1"/>
    <x:xf numFmtId="0" fontId="4" fillId="76" borderId="0" xfId="0" applyNumberFormat="1" applyFont="1" applyFill="1" applyBorder="1"/>
    <x:xf numFmtId="0" fontId="4" fillId="76" borderId="0" xfId="0" applyNumberFormat="1" applyFont="1" applyFill="1" applyBorder="1" applyAlignment="1">
      <x:alignment horizontal="right"/>
    </x:xf>
    <x:xf numFmtId="0" fontId="46" fillId="73" borderId="0" xfId="0" applyNumberFormat="1" applyFont="1" applyFill="1" applyBorder="1"/>
    <x:xf numFmtId="0" fontId="46" fillId="73" borderId="0" xfId="0" applyNumberFormat="1" applyFont="1" applyFill="1" applyBorder="1" applyAlignment="1">
      <x:alignment wrapText="1"/>
    </x:xf>
    <x:xf numFmtId="206" fontId="4" fillId="76" borderId="0" xfId="0" applyNumberFormat="1" applyFont="1" applyFill="1" applyBorder="1" applyAlignment="1">
      <x:alignment horizontal="right"/>
    </x:xf>
    <x:xf numFmtId="203" fontId="4" fillId="76" borderId="0" xfId="0" applyNumberFormat="1" applyFont="1" applyFill="1" applyBorder="1" applyAlignment="1">
      <x:alignment horizontal="right"/>
    </x:xf>
    <x:xf numFmtId="203" fontId="48" fillId="0" borderId="0" xfId="0" applyNumberFormat="1" applyFont="1" applyFill="1" applyBorder="1"/>
    <x:xf numFmtId="206" fontId="47" fillId="0" borderId="0" xfId="0" applyNumberFormat="1" applyFont="1" applyFill="1" applyBorder="1"/>
    <x:xf numFmtId="0" fontId="47" fillId="0" borderId="5" xfId="0" applyNumberFormat="1" applyFont="1" applyFill="1" applyBorder="1"/>
    <x:xf numFmtId="206" fontId="47" fillId="0" borderId="5" xfId="0" applyNumberFormat="1" applyFont="1" applyFill="1" applyBorder="1"/>
    <x:xf numFmtId="0" fontId="47" fillId="0" borderId="26" xfId="0" applyNumberFormat="1" applyFont="1" applyFill="1" applyBorder="1"/>
    <x:xf numFmtId="206" fontId="47" fillId="0" borderId="26" xfId="0" applyNumberFormat="1" applyFont="1" applyFill="1" applyBorder="1"/>
    <x:xf numFmtId="226" fontId="0" fillId="0" borderId="0" xfId="0" applyNumberFormat="1" applyFont="1" applyFill="1" applyBorder="1"/>
    <x:xf numFmtId="202" fontId="0" fillId="0" borderId="0" xfId="0" applyNumberFormat="1" applyFont="1" applyFill="1" applyBorder="1"/>
    <x:xf numFmtId="203" fontId="0" fillId="0" borderId="0" xfId="0" applyNumberFormat="1" applyFont="1" applyFill="1" applyBorder="1"/>
    <x:xf numFmtId="226" fontId="48" fillId="0" borderId="0" xfId="0" applyNumberFormat="1" applyFont="1" applyFill="1" applyBorder="1"/>
    <x:xf numFmtId="203" fontId="47" fillId="0" borderId="0" xfId="0" applyNumberFormat="1" applyFont="1" applyFill="1" applyBorder="1"/>
    <x:xf numFmtId="203" fontId="47" fillId="0" borderId="26" xfId="0" applyNumberFormat="1" applyFont="1" applyFill="1" applyBorder="1"/>
    <x:xf numFmtId="203" fontId="0" fillId="76" borderId="0" xfId="0" applyNumberFormat="1" applyFont="1" applyFill="1" applyBorder="1"/>
    <x:xf numFmtId="0" fontId="46" fillId="76" borderId="0" xfId="0" applyNumberFormat="1" applyFont="1" applyFill="1" applyBorder="1"/>
    <x:xf numFmtId="203" fontId="46" fillId="76" borderId="0" xfId="0" applyNumberFormat="1" applyFont="1" applyFill="1" applyBorder="1"/>
    <x:xf numFmtId="0" fontId="46" fillId="76" borderId="26" xfId="0" applyNumberFormat="1" applyFont="1" applyFill="1" applyBorder="1"/>
    <x:xf numFmtId="203" fontId="46" fillId="76" borderId="26" xfId="0" applyNumberFormat="1" applyFont="1" applyFill="1" applyBorder="1"/>
    <x:xf numFmtId="0" fontId="0" fillId="77" borderId="0" xfId="0" applyNumberFormat="1" applyFont="1" applyFill="1" applyBorder="1"/>
    <x:xf numFmtId="0" fontId="51" fillId="77" borderId="0" xfId="0" applyNumberFormat="1" applyFont="1" applyFill="1" applyBorder="1"/>
    <x:xf numFmtId="0" fontId="51" fillId="77" borderId="0" xfId="0" applyNumberFormat="1" applyFont="1" applyFill="1" applyBorder="1" applyAlignment="1">
      <x:alignment wrapText="1"/>
    </x:xf>
    <x:xf numFmtId="0" fontId="52" fillId="0" borderId="0" xfId="0" applyNumberFormat="1" applyFont="1" applyFill="1" applyBorder="1"/>
    <x:xf numFmtId="0" fontId="47" fillId="76" borderId="26" xfId="0" applyNumberFormat="1" applyFont="1" applyFill="1" applyBorder="1"/>
    <x:xf numFmtId="0" fontId="3" fillId="0" borderId="0" xfId="0" applyNumberFormat="1" applyFont="1" applyFill="1" applyBorder="1" applyAlignment="1">
      <x:alignment vertical="center"/>
    </x:xf>
    <x:xf numFmtId="0" fontId="4" fillId="71" borderId="0" xfId="0" applyNumberFormat="1" applyFont="1" applyFill="1" applyBorder="1" applyAlignment="1">
      <x:alignment vertical="center"/>
    </x:xf>
    <x:xf numFmtId="0" fontId="0" fillId="0" borderId="0" xfId="0" applyNumberFormat="1" applyFont="1" applyFill="1" applyBorder="1" applyAlignment="1">
      <x:alignment vertical="center"/>
    </x:xf>
    <x:xf numFmtId="0" fontId="3" fillId="72" borderId="0" xfId="0" applyNumberFormat="1" applyFont="1" applyFill="1" applyBorder="1" applyAlignment="1">
      <x:alignment vertical="center"/>
    </x:xf>
    <x:xf numFmtId="0" fontId="4" fillId="73" borderId="0" xfId="0" applyNumberFormat="1" applyFont="1" applyFill="1" applyBorder="1" applyAlignment="1">
      <x:alignment vertical="center" wrapText="1"/>
    </x:xf>
    <x:xf numFmtId="0" fontId="47" fillId="72" borderId="0" xfId="0" applyNumberFormat="1" applyFont="1" applyFill="1" applyBorder="1" applyAlignment="1">
      <x:alignment vertical="center"/>
    </x:xf>
    <x:xf numFmtId="206" fontId="4" fillId="76" borderId="0" xfId="0" applyNumberFormat="1" applyFont="1" applyFill="1" applyBorder="1" applyAlignment="1">
      <x:alignment horizontal="right" vertical="center"/>
    </x:xf>
    <x:xf numFmtId="206" fontId="48" fillId="0" borderId="0" xfId="0" applyNumberFormat="1" applyFont="1" applyFill="1" applyBorder="1" applyAlignment="1">
      <x:alignment vertical="center"/>
    </x:xf>
    <x:xf numFmtId="203" fontId="49" fillId="0" borderId="0" xfId="0" applyNumberFormat="1" applyFont="1" applyFill="1" applyBorder="1" applyAlignment="1">
      <x:alignment vertical="center"/>
    </x:xf>
    <x:xf numFmtId="206" fontId="0" fillId="0" borderId="0" xfId="0" applyNumberFormat="1" applyFont="1" applyFill="1" applyBorder="1" applyAlignment="1">
      <x:alignment vertical="center"/>
    </x:xf>
    <x:xf numFmtId="0" fontId="50" fillId="0" borderId="0" xfId="0" applyNumberFormat="1" applyFont="1" applyFill="1" applyBorder="1" applyAlignment="1">
      <x:alignment vertical="center" wrapText="1"/>
    </x:xf>
    <x:xf numFmtId="203" fontId="4" fillId="76" borderId="0" xfId="0" applyNumberFormat="1" applyFont="1" applyFill="1" applyBorder="1" applyAlignment="1">
      <x:alignment horizontal="right" vertical="center"/>
    </x:xf>
    <x:xf numFmtId="206" fontId="49" fillId="0" borderId="0" xfId="0" applyNumberFormat="1" applyFont="1" applyFill="1" applyBorder="1" applyAlignment="1">
      <x:alignment vertical="center"/>
    </x:xf>
    <x:xf numFmtId="0" fontId="46" fillId="73" borderId="0" xfId="0" applyNumberFormat="1" applyFont="1" applyFill="1" applyBorder="1" applyAlignment="1">
      <x:alignment vertical="center" wrapText="1"/>
    </x:xf>
    <x:xf numFmtId="0" fontId="47" fillId="0" borderId="25" xfId="0" applyNumberFormat="1" applyFont="1" applyFill="1" applyBorder="1" applyAlignment="1">
      <x:alignment vertical="center"/>
    </x:xf>
    <x:xf numFmtId="206" fontId="47" fillId="0" borderId="25" xfId="0" applyNumberFormat="1" applyFont="1" applyFill="1" applyBorder="1" applyAlignment="1">
      <x:alignment vertical="center"/>
    </x:xf>
    <x:xf numFmtId="210" fontId="49" fillId="0" borderId="0" xfId="0" applyNumberFormat="1" applyFont="1" applyFill="1" applyBorder="1" applyAlignment="1">
      <x:alignment vertical="center"/>
    </x:xf>
    <x:xf numFmtId="0" fontId="46" fillId="75" borderId="0" xfId="0" applyNumberFormat="1" applyFont="1" applyFill="1" applyBorder="1" applyAlignment="1">
      <x:alignment vertical="center"/>
    </x:xf>
    <x:xf numFmtId="0" fontId="52" fillId="0" borderId="0" xfId="0" applyNumberFormat="1" applyFont="1" applyFill="1" applyBorder="1" applyAlignment="1">
      <x:alignment vertical="center"/>
    </x:xf>
    <x:xf numFmtId="0" fontId="47" fillId="0" borderId="5" xfId="0" applyNumberFormat="1" applyFont="1" applyFill="1" applyBorder="1" applyAlignment="1">
      <x:alignment vertical="center"/>
    </x:xf>
    <x:xf numFmtId="206" fontId="47" fillId="0" borderId="5" xfId="0" applyNumberFormat="1" applyFont="1" applyFill="1" applyBorder="1" applyAlignment="1">
      <x:alignment vertical="center"/>
    </x:xf>
    <x:xf numFmtId="226" fontId="48" fillId="0" borderId="0" xfId="0" applyNumberFormat="1" applyFont="1" applyFill="1" applyBorder="1" applyAlignment="1">
      <x:alignment vertical="center"/>
    </x:xf>
    <x:xf numFmtId="202" fontId="0" fillId="0" borderId="0" xfId="0" applyNumberFormat="1" applyFont="1" applyFill="1" applyBorder="1" applyAlignment="1">
      <x:alignment vertical="center"/>
    </x:xf>
    <x:xf numFmtId="0" fontId="47" fillId="0" borderId="26" xfId="0" applyNumberFormat="1" applyFont="1" applyFill="1" applyBorder="1" applyAlignment="1">
      <x:alignment vertical="center"/>
    </x:xf>
    <x:xf numFmtId="203" fontId="47" fillId="0" borderId="26" xfId="0" applyNumberFormat="1" applyFont="1" applyFill="1" applyBorder="1" applyAlignment="1">
      <x:alignment vertical="center"/>
    </x:xf>
    <x:xf numFmtId="203" fontId="48" fillId="0" borderId="0" xfId="0" applyNumberFormat="1" applyFont="1" applyFill="1" applyBorder="1" applyAlignment="1">
      <x:alignment vertical="center"/>
    </x:xf>
    <x:xf numFmtId="206" fontId="47" fillId="0" borderId="26" xfId="0" applyNumberFormat="1" applyFont="1" applyFill="1" applyBorder="1" applyAlignment="1">
      <x:alignment vertical="center"/>
    </x:xf>
    <x:xf numFmtId="0" fontId="47" fillId="76" borderId="26" xfId="0" applyNumberFormat="1" applyFont="1" applyFill="1" applyBorder="1" applyAlignment="1">
      <x:alignment vertical="center"/>
    </x:xf>
    <x:xf numFmtId="203" fontId="46" fillId="76" borderId="26" xfId="0" applyNumberFormat="1" applyFont="1" applyFill="1" applyBorder="1" applyAlignment="1">
      <x:alignment vertical="center"/>
    </x:xf>
    <x:xf numFmtId="0" fontId="51" fillId="77" borderId="0" xfId="0" applyNumberFormat="1" applyFont="1" applyFill="1" applyBorder="1" applyAlignment="1">
      <x:alignment vertical="center" wrapText="1"/>
    </x:xf>
    <x:xf numFmtId="206" fontId="48" fillId="0" borderId="0" xfId="0" applyNumberFormat="1" applyFont="1" applyFill="1" applyBorder="1" applyAlignment="1">
      <x:alignment horizontal="right" vertical="center"/>
    </x:xf>
    <x:xf numFmtId="203" fontId="49" fillId="0" borderId="0" xfId="0" applyNumberFormat="1" applyFont="1" applyFill="1" applyBorder="1" applyAlignment="1">
      <x:alignment horizontal="right" vertical="center"/>
    </x:xf>
    <x:xf numFmtId="206" fontId="0" fillId="0" borderId="0" xfId="0" applyNumberFormat="1" applyFont="1" applyFill="1" applyBorder="1" applyAlignment="1">
      <x:alignment horizontal="right" vertical="center"/>
    </x:xf>
    <x:xf numFmtId="206" fontId="47" fillId="0" borderId="5" xfId="0" applyNumberFormat="1" applyFont="1" applyFill="1" applyBorder="1" applyAlignment="1">
      <x:alignment horizontal="right" vertical="center"/>
    </x:xf>
    <x:xf numFmtId="203" fontId="48" fillId="0" borderId="0" xfId="0" applyNumberFormat="1" applyFont="1" applyFill="1" applyBorder="1" applyAlignment="1">
      <x:alignment horizontal="right" vertical="center"/>
    </x:xf>
    <x:xf numFmtId="206" fontId="47" fillId="0" borderId="26" xfId="0" applyNumberFormat="1" applyFont="1" applyFill="1" applyBorder="1" applyAlignment="1">
      <x:alignment horizontal="right" vertical="center"/>
    </x:xf>
    <x:xf numFmtId="0" fontId="0" fillId="0" borderId="0" xfId="0" applyNumberFormat="1" applyFont="1" applyFill="1" applyBorder="1" applyAlignment="1">
      <x:alignment horizontal="right" vertical="center"/>
    </x:xf>
    <x:xf numFmtId="226" fontId="48" fillId="0" borderId="0" xfId="0" applyNumberFormat="1" applyFont="1" applyFill="1" applyBorder="1" applyAlignment="1">
      <x:alignment horizontal="right" vertical="center"/>
    </x:xf>
    <x:xf numFmtId="202" fontId="0" fillId="0" borderId="0" xfId="0" applyNumberFormat="1" applyFont="1" applyFill="1" applyBorder="1" applyAlignment="1">
      <x:alignment horizontal="right" vertical="center"/>
    </x:xf>
    <x:xf numFmtId="203" fontId="47" fillId="0" borderId="26" xfId="0" applyNumberFormat="1" applyFont="1" applyFill="1" applyBorder="1" applyAlignment="1">
      <x:alignment horizontal="right" vertical="center"/>
    </x:xf>
    <x:xf numFmtId="203" fontId="46" fillId="76" borderId="26" xfId="0" applyNumberFormat="1" applyFont="1" applyFill="1" applyBorder="1" applyAlignment="1">
      <x:alignment horizontal="right" vertical="center"/>
    </x:xf>
    <x:xf numFmtId="204" fontId="12" fillId="4" borderId="0" xfId="0" applyNumberFormat="1" applyFont="1" applyFill="1" applyBorder="1"/>
    <x:xf numFmtId="206" fontId="12" fillId="4" borderId="0" xfId="0" applyNumberFormat="1" applyFont="1" applyFill="1" applyBorder="1"/>
    <x:xf numFmtId="0" fontId="46" fillId="71" borderId="0" xfId="0" applyNumberFormat="1" applyFont="1" applyFill="1" applyBorder="1"/>
    <x:xf numFmtId="0" fontId="9" fillId="71" borderId="0" xfId="0" applyNumberFormat="1" applyFont="1" applyFill="1" applyBorder="1"/>
    <x:xf numFmtId="0" fontId="26" fillId="71" borderId="0" xfId="0" applyNumberFormat="1" applyFont="1" applyFill="1" applyBorder="1"/>
    <x:xf numFmtId="206" fontId="52" fillId="0" borderId="0" xfId="0" applyNumberFormat="1" applyFont="1" applyFill="1" applyBorder="1" applyAlignment="1">
      <x:alignment vertical="center"/>
    </x:xf>
    <x:xf numFmtId="203" fontId="52" fillId="0" borderId="0" xfId="0" applyNumberFormat="1" applyFont="1" applyFill="1" applyBorder="1" applyAlignment="1">
      <x:alignment vertical="center"/>
    </x:xf>
    <x:xf numFmtId="0" fontId="52" fillId="0" borderId="27" xfId="0" applyNumberFormat="1" applyFont="1" applyFill="1" applyBorder="1" applyAlignment="1">
      <x:alignment vertical="center"/>
    </x:xf>
    <x:xf numFmtId="206" fontId="48" fillId="0" borderId="27" xfId="0" applyNumberFormat="1" applyFont="1" applyFill="1" applyBorder="1" applyAlignment="1">
      <x:alignment vertical="center"/>
    </x:xf>
    <x:xf numFmtId="0" fontId="52" fillId="0" borderId="28" xfId="0" applyNumberFormat="1" applyFont="1" applyFill="1" applyBorder="1" applyAlignment="1">
      <x:alignment vertical="center"/>
    </x:xf>
    <x:xf numFmtId="203" fontId="48" fillId="0" borderId="28" xfId="0" applyNumberFormat="1" applyFont="1" applyFill="1" applyBorder="1" applyAlignment="1">
      <x:alignment vertical="center"/>
    </x:xf>
    <x:xf numFmtId="206" fontId="48" fillId="0" borderId="28" xfId="0" applyNumberFormat="1" applyFont="1" applyFill="1" applyBorder="1" applyAlignment="1">
      <x:alignment vertical="center"/>
    </x:xf>
    <x:xf numFmtId="206" fontId="52" fillId="0" borderId="28" xfId="0" applyNumberFormat="1" applyFont="1" applyFill="1" applyBorder="1" applyAlignment="1">
      <x:alignment vertical="center"/>
    </x:xf>
    <x:xf numFmtId="0" fontId="52" fillId="0" borderId="29" xfId="0" applyNumberFormat="1" applyFont="1" applyFill="1" applyBorder="1" applyAlignment="1">
      <x:alignment vertical="center"/>
    </x:xf>
    <x:xf numFmtId="203" fontId="48" fillId="0" borderId="29" xfId="0" applyNumberFormat="1" applyFont="1" applyFill="1" applyBorder="1" applyAlignment="1">
      <x:alignment vertical="center"/>
    </x:xf>
    <x:xf numFmtId="203" fontId="52" fillId="0" borderId="29" xfId="0" applyNumberFormat="1" applyFont="1" applyFill="1" applyBorder="1" applyAlignment="1">
      <x:alignment vertical="center"/>
    </x:xf>
  </x:cellXfs>
  <x:cellStyles count="1">
    <x:cellStyle name="Normal" xfId="0"/>
  </x:cellStyles>
  <x:dxfs count="19">
    <x:dxf>
      <x:font>
        <x:b/>
        <x:color rgb="FF008000"/>
      </x:font>
      <x:fill>
        <x:patternFill>
          <x:bgColor rgb="FFE2F0D9"/>
        </x:patternFill>
      </x:fill>
    </x:dxf>
    <x:dxf>
      <x:font>
        <x:b/>
        <x:color rgb="FFC00000"/>
      </x:font>
      <x:fill>
        <x:patternFill>
          <x:bgColor rgb="FFFCE4D6"/>
        </x:patternFill>
      </x:fill>
    </x:dxf>
    <x:dxf>
      <x:font>
        <x:b/>
        <x:color rgb="FF006100"/>
      </x:font>
      <x:fill>
        <x:patternFill>
          <x:bgColor rgb="FFC6EFCE"/>
        </x:patternFill>
      </x:fill>
    </x:dxf>
    <x:dxf>
      <x:font>
        <x:b/>
        <x:color rgb="FFC00000"/>
      </x:font>
      <x:fill>
        <x:patternFill>
          <x:bgColor rgb="FFFFC7CE"/>
        </x:patternFill>
      </x:fill>
    </x:dxf>
    <x:dxf>
      <x:font>
        <x:b/>
        <x:color rgb="FF006100"/>
      </x:font>
      <x:fill>
        <x:patternFill>
          <x:bgColor rgb="FFC6EFCE"/>
        </x:patternFill>
      </x:fill>
    </x:dxf>
    <x:dxf>
      <x:font>
        <x:b/>
        <x:color rgb="FF9C0006"/>
      </x:font>
      <x:fill>
        <x:patternFill>
          <x:bgColor rgb="FFFFC7CE"/>
        </x:patternFill>
      </x:fill>
    </x:dxf>
    <x:dxf>
      <x:font>
        <x:color rgb="FF7F7F7F"/>
      </x:font>
      <x:fill>
        <x:patternFill>
          <x:bgColor rgb="FF7F7F7F"/>
        </x:patternFill>
      </x:fill>
    </x:dxf>
    <x:dxf>
      <x:font>
        <x:color rgb="FF2F75B5"/>
      </x:font>
      <x:fill>
        <x:patternFill>
          <x:bgColor rgb="FF2F75B5"/>
        </x:patternFill>
      </x:fill>
    </x:dxf>
    <x:dxf>
      <x:font>
        <x:color rgb="FF2F75B5"/>
      </x:font>
      <x:fill>
        <x:patternFill>
          <x:bgColor rgb="FF2F75B5"/>
        </x:patternFill>
      </x:fill>
    </x:dxf>
    <x:dxf>
      <x:font>
        <x:color rgb="FF2F75B5"/>
      </x:font>
      <x:fill>
        <x:patternFill>
          <x:bgColor rgb="FF2F75B5"/>
        </x:patternFill>
      </x:fill>
    </x:dxf>
    <x:dxf>
      <x:font>
        <x:color rgb="FF2F75B5"/>
      </x:font>
      <x:fill>
        <x:patternFill>
          <x:bgColor rgb="FF2F75B5"/>
        </x:patternFill>
      </x:fill>
    </x:dxf>
    <x:dxf>
      <x:font>
        <x:color rgb="FF70AD47"/>
      </x:font>
      <x:fill>
        <x:patternFill>
          <x:bgColor rgb="FF70AD47"/>
        </x:patternFill>
      </x:fill>
    </x:dxf>
    <x:dxf>
      <x:font>
        <x:color rgb="FF70AD47"/>
      </x:font>
      <x:fill>
        <x:patternFill>
          <x:bgColor rgb="FF70AD47"/>
        </x:patternFill>
      </x:fill>
    </x:dxf>
    <x:dxf>
      <x:font>
        <x:color rgb="FF70AD47"/>
      </x:font>
      <x:fill>
        <x:patternFill>
          <x:bgColor rgb="FF70AD47"/>
        </x:patternFill>
      </x:fill>
    </x:dxf>
    <x:dxf>
      <x:font>
        <x:color rgb="FFF4B183"/>
      </x:font>
      <x:fill>
        <x:patternFill>
          <x:bgColor rgb="FFF4B183"/>
        </x:patternFill>
      </x:fill>
    </x:dxf>
    <x:dxf>
      <x:font>
        <x:color rgb="FFFFD966"/>
      </x:font>
      <x:fill>
        <x:patternFill>
          <x:bgColor rgb="FFFFD966"/>
        </x:patternFill>
      </x:fill>
    </x:dxf>
    <x:dxf>
      <x:font>
        <x:color rgb="FF17365D"/>
      </x:font>
      <x:fill>
        <x:patternFill>
          <x:bgColor rgb="FF17365D"/>
        </x:patternFill>
      </x:fill>
    </x:dxf>
    <x:dxf>
      <x:font>
        <x:b/>
        <x:color rgb="FF006100"/>
      </x:font>
      <x:fill>
        <x:patternFill patternType="solid">
          <x:bgColor rgb="FFE2F0D9"/>
        </x:patternFill>
      </x:fill>
    </x:dxf>
    <x:dxf>
      <x:font>
        <x:b/>
        <x:color rgb="FF9C0006"/>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61f99b1ae7b4567" /><Relationship Type="http://schemas.openxmlformats.org/officeDocument/2006/relationships/theme" Target="/xl/theme/theme1.xml" Id="R214e67832b4f4a3c" /><Relationship Type="http://schemas.openxmlformats.org/officeDocument/2006/relationships/sharedStrings" Target="/xl/sharedStrings.xml" Id="Reb0629d9a5bd4509" /><Relationship Type="http://schemas.openxmlformats.org/officeDocument/2006/relationships/worksheet" Target="/xl/worksheets/sheet1.xml" Id="R04b6ac13bd0c4964" /><Relationship Type="http://schemas.openxmlformats.org/officeDocument/2006/relationships/worksheet" Target="/xl/worksheets/sheet2.xml" Id="Rcbcbeaae314b4d6d" /><Relationship Type="http://schemas.openxmlformats.org/officeDocument/2006/relationships/worksheet" Target="/xl/worksheets/sheet3.xml" Id="Rce5dd49fb1d646f4" /><Relationship Type="http://schemas.openxmlformats.org/officeDocument/2006/relationships/worksheet" Target="/xl/worksheets/sheet4.xml" Id="R773f8f621dd54f58" /><Relationship Type="http://schemas.openxmlformats.org/officeDocument/2006/relationships/worksheet" Target="/xl/worksheets/sheet5.xml" Id="Rb809e2b8ad1c49e4" /><Relationship Type="http://schemas.openxmlformats.org/officeDocument/2006/relationships/worksheet" Target="/xl/worksheets/sheet6.xml" Id="Rbc13c4a400964cfa" /><Relationship Type="http://schemas.openxmlformats.org/officeDocument/2006/relationships/worksheet" Target="/xl/worksheets/sheet7.xml" Id="R5bd3915f8463480a" /><Relationship Type="http://schemas.openxmlformats.org/officeDocument/2006/relationships/worksheet" Target="/xl/worksheets/sheet8.xml" Id="R3d7bd505fb064a62" /><Relationship Type="http://schemas.openxmlformats.org/officeDocument/2006/relationships/worksheet" Target="/xl/worksheets/sheet9.xml" Id="Rcbc67dcbe159460d" /><Relationship Type="http://schemas.openxmlformats.org/officeDocument/2006/relationships/worksheet" Target="/xl/worksheets/sheet10.xml" Id="Raf6fcd4d9ce7451a" /><Relationship Type="http://schemas.openxmlformats.org/officeDocument/2006/relationships/worksheet" Target="/xl/worksheets/sheet11.xml" Id="R5e1895f491ff432b" /><Relationship Type="http://schemas.openxmlformats.org/officeDocument/2006/relationships/worksheet" Target="/xl/worksheets/sheet12.xml" Id="Rf77c9a90abfb494d" /><Relationship Type="http://schemas.openxmlformats.org/officeDocument/2006/relationships/worksheet" Target="/xl/worksheets/sheet13.xml" Id="Rf089c6f9b0294c75" /><Relationship Type="http://schemas.openxmlformats.org/officeDocument/2006/relationships/worksheet" Target="/xl/worksheets/sheet14.xml" Id="R504d81771a6a4c5c" /><Relationship Type="http://schemas.openxmlformats.org/officeDocument/2006/relationships/worksheet" Target="/xl/worksheets/sheet15.xml" Id="R724de2b1edc04a60" /><Relationship Type="http://schemas.openxmlformats.org/officeDocument/2006/relationships/worksheet" Target="/xl/worksheets/sheet16.xml" Id="R3fbdf77a30cb46e6" /><Relationship Type="http://schemas.openxmlformats.org/officeDocument/2006/relationships/worksheet" Target="/xl/worksheets/sheet17.xml" Id="Re7a48d1bf83042e5" /><Relationship Type="http://schemas.microsoft.com/office/2017/10/relationships/person" Target="/xl/persons/person.xml" Id="R362e111645864c07" /></Relationships>
</file>

<file path=xl/persons/person.xml><?xml version="1.0" encoding="utf-8"?>
<xltc:personList xmlns:xltc="http://schemas.microsoft.com/office/spreadsheetml/2018/threadedcomments">
  <xltc:person displayName="Rohan Dravid" id="{51843E4D-6D01-459A-8247-31E61F25B311}"/>
  <xltc:person displayName="Rohan Dravid" id="{5D681B06-03A8-48DE-909F-486DBD62E5DE}"/>
  <xltc:person displayName="Rohan Dravid" id="{80509790-5AC7-4B70-9CDF-14DA69F61825}"/>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7" dT="2026-08-21T04:02:47.572" personId="{51843E4D-6D01-459A-8247-31E61F25B311}" id="{F6DB3FAA-A1EC-7D77-2866-86E73D1A637E}">
    <xltc:text>Sources: Rockwell FY2022 and FY2025 Forms 10-K; SEC Company Facts. Total segment operating earnings is a company-defined non-GAAP measure.</xltc:text>
  </xltc:threadedComment>
  <xltc:threadedComment ref="G35" dT="2026-08-21T04:02:47.572" personId="{51843E4D-6D01-459A-8247-31E61F25B311}" id="{CC4A0B00-5474-EF44-8ACC-00181B81D655}">
    <xltc:text>Balance sheet and financing-capacity inputs are sourced from audited Rockwell Forms 10-K.</xltc:text>
  </xltc:threadedComment>
</xltc:ThreadedComments>
</file>

<file path=xl/threadedcomments/threadedcomment2.xml><?xml version="1.0" encoding="utf-8"?>
<xltc:ThreadedComments xmlns:xltc="http://schemas.microsoft.com/office/spreadsheetml/2018/threadedcomments">
  <xltc:threadedComment ref="G7" dT="2026-08-21T04:02:47.532" personId="{51843E4D-6D01-459A-8247-31E61F25B311}" id="{85CE8A89-E83C-1D89-0606-CC1110311CD7}">
    <xltc:text>Sources: Cognex FY2023 and FY2025 Forms 10-K; SEC Company Facts. See the Sources worksheet for URLs and filing dates.</xltc:text>
  </xltc:threadedComment>
  <xltc:threadedComment ref="G47" dT="2026-08-21T04:02:47.534" personId="{51843E4D-6D01-459A-8247-31E61F25B311}" id="{F880D00B-EDF4-F6C0-6143-47B16B480219}">
    <xltc:text>Balance sheet inputs are taken from Cognex's audited Forms 10-K and reconciled to total assets, liabilities, and equity.</xltc:text>
  </xltc:threadedComment>
</xltc:ThreadedComments>
</file>

<file path=xl/threadedcomments/threadedcomment3.xml><?xml version="1.0" encoding="utf-8"?>
<xltc:ThreadedComments xmlns:xltc="http://schemas.microsoft.com/office/spreadsheetml/2018/threadedcomments">
  <xltc:threadedComment ref="B7" dT="2026-08-21T04:34:35.853" personId="{5D681B06-03A8-48DE-909F-486DBD62E5DE}" id="{8BDDC509-894D-E4D6-9015-2B10CA3BAAAD}">
    <xltc:text>Source: U.S. Treasury Daily Treasury Par Yield Curve Rates, Aug. 20, 2026. Rounded 10-year yield used in CAPM.</xltc:text>
  </xltc:threadedComment>
  <xltc:threadedComment ref="B8" dT="2026-08-21T04:34:35.855" personId="{5D681B06-03A8-48DE-909F-486DBD62E5DE}" id="{B2C64C71-952F-5108-98F3-1211111A0BF8}">
    <xltc:text>Source: StockAnalysis Cognex statistics. Observed beta rounded to 1.50 and adjusted toward 1.0.</xltc:text>
  </xltc:threadedComment>
  <xltc:threadedComment ref="B12" dT="2026-08-21T04:34:35.855" personId="{5D681B06-03A8-48DE-909F-486DBD62E5DE}" id="{DED1E4DB-EA7E-EF00-070B-1F37A5386B43}">
    <xltc:text>Source: Kroll recommended U.S. equity risk premium, accessed Aug. 20, 2026.</xltc:text>
  </xltc:threadedComment>
  <xltc:threadedComment ref="B19" dT="2026-08-21T04:34:35.855" personId="{5D681B06-03A8-48DE-909F-486DBD62E5DE}" id="{5F3C8384-FD1D-8400-67F5-3F032724E8F4}">
    <xltc:text>Source: Cognex Q2 2026 earnings release furnished to the SEC. Cash and investments were $755.013 million as of July 5, 2026.</xltc:text>
  </xltc:threadedComment>
  <xltc:threadedComment ref="B21" dT="2026-08-21T04:34:35.855" personId="{5D681B06-03A8-48DE-909F-486DBD62E5DE}" id="{74CE60E2-80E3-7DF4-0049-CED183A6E69F}">
    <xltc:text>Source: Cognex Q2 2026 filing. Latest basic shares outstanding used as a provisional diluted-share proxy; treasury-stock-method dilution will be revisited before final publication.</xltc:text>
  </xltc:threadedComment>
</xltc:ThreadedComments>
</file>

<file path=xl/worksheets/_rels/sheet4.xml.rels>&#65279;<?xml version="1.0" encoding="utf-8"?><Relationships xmlns="http://schemas.openxmlformats.org/package/2006/relationships"><Relationship Type="http://schemas.openxmlformats.org/officeDocument/2006/relationships/comments" Target="/xl/comments1.xml" Id="R671a07c2d9434bf9" /><Relationship Type="http://schemas.openxmlformats.org/officeDocument/2006/relationships/vmlDrawing" Target="/xl/drawings/vmldrawing.vml" Id="Rc8e3d903b1584403" /><Relationship Type="http://schemas.microsoft.com/office/2017/10/relationships/threadedComment" Target="/xl/threadedcomments/threadedcomment.xml" Id="R591063e8ba924389" /></Relationships>
</file>

<file path=xl/worksheets/_rels/sheet5.xml.rels>&#65279;<?xml version="1.0" encoding="utf-8"?><Relationships xmlns="http://schemas.openxmlformats.org/package/2006/relationships"><Relationship Type="http://schemas.openxmlformats.org/officeDocument/2006/relationships/comments" Target="/xl/comments2.xml" Id="R3fce9fc28dbe42ee" /><Relationship Type="http://schemas.openxmlformats.org/officeDocument/2006/relationships/vmlDrawing" Target="/xl/drawings/vmldrawing2.vml" Id="R1a7ab3b54371452f" /><Relationship Type="http://schemas.microsoft.com/office/2017/10/relationships/threadedComment" Target="/xl/threadedcomments/threadedcomment2.xml" Id="R5c97d390d1974ff8" /></Relationships>
</file>

<file path=xl/worksheets/_rels/sheet8.xml.rels>&#65279;<?xml version="1.0" encoding="utf-8"?><Relationships xmlns="http://schemas.openxmlformats.org/package/2006/relationships"><Relationship Type="http://schemas.openxmlformats.org/officeDocument/2006/relationships/comments" Target="/xl/comments3.xml" Id="R9109666be41a41a8" /><Relationship Type="http://schemas.openxmlformats.org/officeDocument/2006/relationships/vmlDrawing" Target="/xl/drawings/vmldrawing3.vml" Id="R64f986a9723f4d82" /><Relationship Type="http://schemas.microsoft.com/office/2017/10/relationships/threadedComment" Target="/xl/threadedcomments/threadedcomment3.xml" Id="R0a44167b40fa4d39"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25" hidden="0" customWidth="1"/>
    <x:col min="3" max="3" width="66" hidden="0" customWidth="1"/>
    <x:col min="4" max="4" width="4" hidden="0" customWidth="1"/>
    <x:col min="5" max="5" width="18" hidden="0" customWidth="1"/>
    <x:col min="6" max="6" width="18" hidden="0" customWidth="1"/>
    <x:col min="7" max="7" width="18" hidden="0" customWidth="1"/>
    <x:col min="8" max="8" width="18" hidden="0" customWidth="1"/>
  </x:cols>
  <x:sheetData>
    <x:row r="1">
      <x:c r="A1" s="18" t="str">
        <x:v>M&amp;A Valuation &amp; Transaction Analysis</x:v>
      </x:c>
      <x:c r="B1" s="18"/>
      <x:c r="C1" s="18"/>
      <x:c r="D1" s="18"/>
      <x:c r="E1" s="18"/>
      <x:c r="F1" s="18"/>
      <x:c r="G1" s="18"/>
      <x:c r="H1" s="18"/>
    </x:row>
    <x:row r="2">
      <x:c r="A2" s="18"/>
      <x:c r="B2" s="18"/>
      <x:c r="C2" s="18"/>
      <x:c r="D2" s="18"/>
      <x:c r="E2" s="18"/>
      <x:c r="F2" s="18"/>
      <x:c r="G2" s="18"/>
      <x:c r="H2" s="18"/>
    </x:row>
    <x:row r="3">
      <x:c r="A3" s="20" t="str">
        <x:v>Hypothetical Rockwell Automation Acquisition of Cognex</x:v>
      </x:c>
      <x:c r="B3" s="20"/>
      <x:c r="C3" s="20"/>
      <x:c r="D3" s="20"/>
      <x:c r="E3" s="20"/>
      <x:c r="F3" s="20"/>
      <x:c r="G3" s="20"/>
      <x:c r="H3" s="20"/>
    </x:row>
    <x:row r="5">
      <x:c r="A5" s="23" t="str">
        <x:v>Model version</x:v>
      </x:c>
      <x:c r="B5" t="str">
        <x:v>0.10 — synergy analysis complete</x:v>
      </x:c>
      <x:c r="E5" s="12" t="str">
        <x:v>FORMATTING LEGEND</x:v>
      </x:c>
      <x:c r="F5" s="12"/>
      <x:c r="G5" s="12"/>
      <x:c r="H5" s="12"/>
    </x:row>
    <x:row r="6">
      <x:c r="A6" s="23" t="str">
        <x:v>Analysis date</x:v>
      </x:c>
      <x:c r="B6" s="22" t="n">
        <x:v>46254.5</x:v>
      </x:c>
      <x:c r="E6" s="29" t="str">
        <x:v>Blue font</x:v>
      </x:c>
      <x:c r="F6" t="str">
        <x:v>Editable assumption</x:v>
      </x:c>
    </x:row>
    <x:row r="7">
      <x:c r="A7" s="23" t="str">
        <x:v>Units</x:v>
      </x:c>
      <x:c r="B7" t="str">
        <x:v>USD millions, except per-share data</x:v>
      </x:c>
      <x:c r="E7" s="30" t="str">
        <x:v>Black font</x:v>
      </x:c>
      <x:c r="F7" t="str">
        <x:v>Same-sheet formula</x:v>
      </x:c>
    </x:row>
    <x:row r="8">
      <x:c r="A8" s="23" t="str">
        <x:v>Selected case</x:v>
      </x:c>
      <x:c r="B8" t="str">
        <x:v>Base</x:v>
      </x:c>
      <x:c r="E8" s="31" t="str">
        <x:v>Green font</x:v>
      </x:c>
      <x:c r="F8" t="str">
        <x:v>Cross-sheet formula</x:v>
      </x:c>
    </x:row>
    <x:row r="9">
      <x:c r="A9" s="23" t="str">
        <x:v>Model status</x:v>
      </x:c>
      <x:c r="B9" s="861" t="str">
        <x:v>SYNERGY ANALYSIS COMPLETE</x:v>
      </x:c>
      <x:c r="E9" s="9" t="str">
        <x:v>Yellow fill</x:v>
      </x:c>
      <x:c r="F9" t="str">
        <x:v>Required update</x:v>
      </x:c>
    </x:row>
    <x:row r="10">
      <x:c r="A10" s="23" t="str">
        <x:v>Transaction status</x:v>
      </x:c>
      <x:c r="B10" t="str">
        <x:v>Hypothetical / educational analysis</x:v>
      </x:c>
      <x:c r="E10" s="32" t="str">
        <x:v>Red / green fill</x:v>
      </x:c>
      <x:c r="F10" t="str">
        <x:v>Failed / passed check</x:v>
      </x:c>
    </x:row>
    <x:row r="12">
      <x:c r="A12" s="12" t="str">
        <x:v>MODEL NAVIGATION</x:v>
      </x:c>
      <x:c r="B12" s="12"/>
      <x:c r="C12" s="12"/>
      <x:c r="D12" s="12"/>
      <x:c r="E12" s="12"/>
      <x:c r="F12" s="12"/>
      <x:c r="G12" s="12"/>
      <x:c r="H12" s="12"/>
    </x:row>
    <x:row r="13">
      <x:c r="A13" s="25" t="str">
        <x:v>Order</x:v>
      </x:c>
      <x:c r="B13" s="26" t="str">
        <x:v>Worksheet</x:v>
      </x:c>
      <x:c r="C13" s="27" t="str">
        <x:v>Purpose</x:v>
      </x:c>
    </x:row>
    <x:row r="14">
      <x:c r="A14" s="28" t="n">
        <x:v>1</x:v>
      </x:c>
      <x:c r="B14" s="13" t="str">
        <x:v>Cover</x:v>
      </x:c>
      <x:c r="C14" s="14" t="str">
        <x:v>Model navigation, status, version, conventions, and high-level outputs</x:v>
      </x:c>
    </x:row>
    <x:row r="15">
      <x:c r="A15" s="28" t="n">
        <x:v>2</x:v>
      </x:c>
      <x:c r="B15" s="13" t="str">
        <x:v>Control</x:v>
      </x:c>
      <x:c r="C15" s="14" t="str">
        <x:v>Scenario selection and global transaction assumptions</x:v>
      </x:c>
    </x:row>
    <x:row r="16">
      <x:c r="A16" s="28" t="n">
        <x:v>3</x:v>
      </x:c>
      <x:c r="B16" s="13" t="str">
        <x:v>Sources</x:v>
      </x:c>
      <x:c r="C16" s="14" t="str">
        <x:v>Source IDs, document metadata, URLs, and model uses</x:v>
      </x:c>
    </x:row>
    <x:row r="17">
      <x:c r="A17" s="28" t="n">
        <x:v>4</x:v>
      </x:c>
      <x:c r="B17" s="13" t="str">
        <x:v>ROK Historical</x:v>
      </x:c>
      <x:c r="C17" s="14" t="str">
        <x:v>Rockwell historical financial statements and operating KPIs</x:v>
      </x:c>
    </x:row>
    <x:row r="18">
      <x:c r="A18" s="28" t="n">
        <x:v>5</x:v>
      </x:c>
      <x:c r="B18" s="13" t="str">
        <x:v>CGNX Historical</x:v>
      </x:c>
      <x:c r="C18" s="14" t="str">
        <x:v>Cognex historical financial statements and operating KPIs</x:v>
      </x:c>
    </x:row>
    <x:row r="19">
      <x:c r="A19" s="28" t="n">
        <x:v>6</x:v>
      </x:c>
      <x:c r="B19" s="13" t="str">
        <x:v>CGNX Operating Model</x:v>
      </x:c>
      <x:c r="C19" s="14" t="str">
        <x:v>Cognex five-year driver-based forecast</x:v>
      </x:c>
    </x:row>
    <x:row r="20">
      <x:c r="A20" s="28" t="n">
        <x:v>7</x:v>
      </x:c>
      <x:c r="B20" s="13" t="str">
        <x:v>ROK Forecast</x:v>
      </x:c>
      <x:c r="C20" s="14" t="str">
        <x:v>Rockwell forecast metrics required for transaction analysis</x:v>
      </x:c>
    </x:row>
    <x:row r="21">
      <x:c r="A21" s="28" t="n">
        <x:v>8</x:v>
      </x:c>
      <x:c r="B21" s="13" t="str">
        <x:v>DCF</x:v>
      </x:c>
      <x:c r="C21" s="14" t="str">
        <x:v>Standalone discounted cash flow valuation of Cognex</x:v>
      </x:c>
    </x:row>
    <x:row r="22">
      <x:c r="A22" s="28" t="n">
        <x:v>9</x:v>
      </x:c>
      <x:c r="B22" s="13" t="str">
        <x:v>Trading Comps</x:v>
      </x:c>
      <x:c r="C22" s="14" t="str">
        <x:v>Public-company benchmarking and implied valuation</x:v>
      </x:c>
    </x:row>
    <x:row r="23">
      <x:c r="A23" s="28" t="n">
        <x:v>10</x:v>
      </x:c>
      <x:c r="B23" s="13" t="str">
        <x:v>Precedent Transactions</x:v>
      </x:c>
      <x:c r="C23" s="14" t="str">
        <x:v>Comparable acquisition multiples and premiums</x:v>
      </x:c>
    </x:row>
    <x:row r="24">
      <x:c r="A24" s="28" t="n">
        <x:v>11</x:v>
      </x:c>
      <x:c r="B24" s="13" t="str">
        <x:v>Valuation Summary</x:v>
      </x:c>
      <x:c r="C24" s="14" t="str">
        <x:v>Valuation synthesis, football field, and offer framework</x:v>
      </x:c>
    </x:row>
    <x:row r="25">
      <x:c r="A25" s="28" t="n">
        <x:v>12</x:v>
      </x:c>
      <x:c r="B25" s="13" t="str">
        <x:v>Sources &amp; Uses</x:v>
      </x:c>
      <x:c r="C25" s="14" t="str">
        <x:v>Purchase price, transaction uses, and funding sources</x:v>
      </x:c>
    </x:row>
    <x:row r="26">
      <x:c r="A26" s="28" t="n">
        <x:v>13</x:v>
      </x:c>
      <x:c r="B26" s="13" t="str">
        <x:v>Purchase Accounting</x:v>
      </x:c>
      <x:c r="C26" s="14" t="str">
        <x:v>Goodwill, intangible assets, amortization, and tax effects</x:v>
      </x:c>
    </x:row>
    <x:row r="27">
      <x:c r="A27" s="28" t="n">
        <x:v>14</x:v>
      </x:c>
      <x:c r="B27" s="13" t="str">
        <x:v>Accretion Dilution</x:v>
      </x:c>
      <x:c r="C27" s="14" t="str">
        <x:v>Pro forma earnings, shares, EPS, and accretion/dilution</x:v>
      </x:c>
    </x:row>
    <x:row r="28">
      <x:c r="A28" s="28" t="n">
        <x:v>15</x:v>
      </x:c>
      <x:c r="B28" s="13" t="str">
        <x:v>Synergies</x:v>
      </x:c>
      <x:c r="C28" s="14" t="str">
        <x:v>Cost and revenue synergies, timing, and implementation costs</x:v>
      </x:c>
    </x:row>
    <x:row r="29">
      <x:c r="A29" s="28" t="n">
        <x:v>16</x:v>
      </x:c>
      <x:c r="B29" s="13" t="str">
        <x:v>Sensitivities</x:v>
      </x:c>
      <x:c r="C29" s="14" t="str">
        <x:v>Valuation and transaction sensitivity analyses</x:v>
      </x:c>
    </x:row>
    <x:row r="30">
      <x:c r="A30" s="28" t="n">
        <x:v>17</x:v>
      </x:c>
      <x:c r="B30" s="13" t="str">
        <x:v>Checks</x:v>
      </x:c>
      <x:c r="C30" s="14" t="str">
        <x:v>Central model integrity and reconciliation tests</x:v>
      </x:c>
    </x:row>
  </x:sheetData>
  <x:mergeCells>
    <x:mergeCell ref="A1:H2"/>
    <x:mergeCell ref="A3:H3"/>
    <x:mergeCell ref="A12:H12"/>
    <x:mergeCell ref="E5:H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7"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48" hidden="0" customWidth="1"/>
  </x:cols>
  <x:sheetData>
    <x:row r="1">
      <x:c r="A1" s="177" t="str">
        <x:v>Control &amp; Global Assumptions</x:v>
      </x:c>
      <x:c r="B1" s="177"/>
      <x:c r="C1" s="177"/>
      <x:c r="D1" s="177"/>
      <x:c r="E1" s="177"/>
      <x:c r="F1" s="177"/>
      <x:c r="G1" s="177"/>
      <x:c r="H1" s="177"/>
    </x:row>
    <x:row r="3">
      <x:c r="A3" s="12" t="str">
        <x:v>GLOBAL MODEL CONTROLS</x:v>
      </x:c>
      <x:c r="B3" s="12"/>
      <x:c r="C3" s="12"/>
      <x:c r="D3" s="12"/>
    </x:row>
    <x:row r="4">
      <x:c r="A4" s="25" t="str">
        <x:v>Control</x:v>
      </x:c>
      <x:c r="B4" s="26" t="str">
        <x:v>Value</x:v>
      </x:c>
      <x:c r="C4" s="26" t="str">
        <x:v>Status</x:v>
      </x:c>
      <x:c r="D4" s="27" t="str">
        <x:v>Notes</x:v>
      </x:c>
    </x:row>
    <x:row r="5">
      <x:c r="A5" t="str">
        <x:v>Selected case</x:v>
      </x:c>
      <x:c r="B5" s="29" t="str">
        <x:v>Base</x:v>
      </x:c>
      <x:c r="C5" t="str">
        <x:v>Active</x:v>
      </x:c>
      <x:c r="D5" t="str">
        <x:v>Base / Upside / Downside</x:v>
      </x:c>
    </x:row>
    <x:row r="6">
      <x:c r="A6" t="str">
        <x:v>Analysis date</x:v>
      </x:c>
      <x:c r="B6" s="33" t="n">
        <x:v>46254.5</x:v>
      </x:c>
      <x:c r="C6" t="str">
        <x:v>Active</x:v>
      </x:c>
      <x:c r="D6" t="str">
        <x:v>Market-data as-of date</x:v>
      </x:c>
    </x:row>
    <x:row r="7">
      <x:c r="A7" t="str">
        <x:v>Currency</x:v>
      </x:c>
      <x:c r="B7" s="29" t="str">
        <x:v>USD</x:v>
      </x:c>
      <x:c r="C7" t="str">
        <x:v>Active</x:v>
      </x:c>
      <x:c r="D7" t="str">
        <x:v>Reporting currency</x:v>
      </x:c>
    </x:row>
    <x:row r="8">
      <x:c r="A8" t="str">
        <x:v>Units</x:v>
      </x:c>
      <x:c r="B8" s="29" t="str">
        <x:v>$ in millions</x:v>
      </x:c>
      <x:c r="C8" t="str">
        <x:v>Active</x:v>
      </x:c>
      <x:c r="D8" t="str">
        <x:v>Except per-share data</x:v>
      </x:c>
    </x:row>
    <x:row r="9">
      <x:c r="A9" t="str">
        <x:v>Forecast horizon</x:v>
      </x:c>
      <x:c r="B9" s="34" t="n">
        <x:v>5</x:v>
      </x:c>
      <x:c r="C9" t="str">
        <x:v>Preliminary</x:v>
      </x:c>
      <x:c r="D9" t="str">
        <x:v>Years; confirm after historical review</x:v>
      </x:c>
    </x:row>
    <x:row r="10">
      <x:c r="A10" t="str">
        <x:v>Transaction close date</x:v>
      </x:c>
      <x:c r="B10" s="757" t="n">
        <x:v>46477</x:v>
      </x:c>
      <x:c r="C10" t="str">
        <x:v>Active</x:v>
      </x:c>
      <x:c r="D10" t="str">
        <x:v>Illustrative close after regulatory and shareholder approvals</x:v>
      </x:c>
    </x:row>
    <x:row r="12">
      <x:c r="A12" s="12" t="str">
        <x:v>TRANSACTION INPUTS — DO NOT POPULATE BEFORE VALUATION</x:v>
      </x:c>
      <x:c r="B12" s="12"/>
      <x:c r="C12" s="12"/>
      <x:c r="D12" s="12"/>
    </x:row>
    <x:row r="13">
      <x:c r="A13" t="str">
        <x:v>Offer price per share</x:v>
      </x:c>
      <x:c r="B13" s="762" t="n">
        <x:f>'Valuation Summary'!B9</x:f>
        <x:v>80</x:v>
      </x:c>
      <x:c r="C13" t="str">
        <x:v>Active</x:v>
      </x:c>
      <x:c r="D13" t="str">
        <x:v>Valuation Summary midpoint</x:v>
      </x:c>
    </x:row>
    <x:row r="14">
      <x:c r="A14" t="str">
        <x:v>Offer premium</x:v>
      </x:c>
      <x:c r="B14" s="763" t="n">
        <x:f>'Valuation Summary'!B10</x:f>
        <x:v>0.3393604553825549</x:v>
      </x:c>
      <x:c r="C14" t="str">
        <x:v>Active</x:v>
      </x:c>
      <x:c r="D14" t="str">
        <x:v>Calculated versus unaffected price</x:v>
      </x:c>
    </x:row>
    <x:row r="15">
      <x:c r="A15" t="str">
        <x:v>Cash consideration %</x:v>
      </x:c>
      <x:c r="B15" s="764" t="n">
        <x:v>0.3</x:v>
      </x:c>
      <x:c r="C15" t="str">
        <x:v>Active</x:v>
      </x:c>
      <x:c r="D15" t="str">
        <x:v>Selected financing case</x:v>
      </x:c>
    </x:row>
    <x:row r="16">
      <x:c r="A16" t="str">
        <x:v>Stock consideration %</x:v>
      </x:c>
      <x:c r="B16" s="765" t="n">
        <x:f>1-B15</x:f>
        <x:v>0.7</x:v>
      </x:c>
      <x:c r="C16" t="str">
        <x:v>Active</x:v>
      </x:c>
      <x:c r="D16" t="str">
        <x:v>Balances consideration mix</x:v>
      </x:c>
    </x:row>
    <x:row r="17">
      <x:c r="A17" t="str">
        <x:v>Cost synergies</x:v>
      </x:c>
      <x:c r="B17" s="963" t="n">
        <x:f>'Synergies'!$D$13</x:f>
        <x:v>98.60066300000001</x:v>
      </x:c>
      <x:c r="C17" s="964" t="str">
        <x:v>Active</x:v>
      </x:c>
      <x:c r="D17" t="str">
        <x:v>Bottom-up full run-rate cost synergies; see Synergies</x:v>
      </x:c>
    </x:row>
    <x:row r="18">
      <x:c r="A18" t="str">
        <x:v>Revenue synergies</x:v>
      </x:c>
      <x:c r="B18" s="963" t="n">
        <x:f>'Synergies'!$E$26</x:f>
        <x:v>45.87855649200001</x:v>
      </x:c>
      <x:c r="C18" s="964" t="str">
        <x:v>Active</x:v>
      </x:c>
      <x:c r="D18" t="str">
        <x:v>FY2030E revenue-synergy operating profit; see Synergies</x:v>
      </x:c>
    </x:row>
    <x:row r="20">
      <x:c r="A20" s="139" t="str">
        <x:v>CGNX OPERATING FORECAST ASSUMPTIONS</x:v>
      </x:c>
      <x:c r="B20" s="139"/>
      <x:c r="C20" s="139"/>
      <x:c r="D20" s="139"/>
      <x:c r="E20" s="139"/>
      <x:c r="F20" s="139"/>
      <x:c r="G20" s="139"/>
      <x:c r="H20" s="139"/>
    </x:row>
    <x:row r="21">
      <x:c r="A21" s="144" t="str">
        <x:v>Driver</x:v>
      </x:c>
      <x:c r="B21" s="144" t="str">
        <x:v>Case</x:v>
      </x:c>
      <x:c r="C21" s="144" t="str">
        <x:v>FY2026E</x:v>
      </x:c>
      <x:c r="D21" s="144" t="str">
        <x:v>FY2027E</x:v>
      </x:c>
      <x:c r="E21" s="144" t="str">
        <x:v>FY2028E</x:v>
      </x:c>
      <x:c r="F21" s="144" t="str">
        <x:v>FY2029E</x:v>
      </x:c>
      <x:c r="G21" s="144" t="str">
        <x:v>FY2030E</x:v>
      </x:c>
      <x:c r="H21" s="144" t="str">
        <x:v>Source / rationale</x:v>
      </x:c>
    </x:row>
    <x:row r="22">
      <x:c r="A22" s="155" t="str">
        <x:v>Revenue growth</x:v>
      </x:c>
      <x:c r="B22" s="156" t="str">
        <x:v>Base</x:v>
      </x:c>
      <x:c r="C22" s="173" t="n">
        <x:v>0.14646722159702885</x:v>
      </x:c>
      <x:c r="D22" s="173" t="n">
        <x:v>0.09</x:v>
      </x:c>
      <x:c r="E22" s="173" t="n">
        <x:v>0.08</x:v>
      </x:c>
      <x:c r="F22" s="173" t="n">
        <x:v>0.07</x:v>
      </x:c>
      <x:c r="G22" s="173" t="n">
        <x:v>0.065</x:v>
      </x:c>
      <x:c r="H22" s="157" t="str">
        <x:v>FY2026: S-022 guidance midpoint; outer years normalize</x:v>
      </x:c>
    </x:row>
    <x:row r="23">
      <x:c r="A23" s="158" t="str">
        <x:v>Revenue growth</x:v>
      </x:c>
      <x:c r="B23" s="159" t="str">
        <x:v>Upside</x:v>
      </x:c>
      <x:c r="C23" s="174" t="n">
        <x:v>0.15652395161103771</x:v>
      </x:c>
      <x:c r="D23" s="174" t="n">
        <x:v>0.12</x:v>
      </x:c>
      <x:c r="E23" s="174" t="n">
        <x:v>0.1</x:v>
      </x:c>
      <x:c r="F23" s="174" t="n">
        <x:v>0.09</x:v>
      </x:c>
      <x:c r="G23" s="174" t="n">
        <x:v>0.08</x:v>
      </x:c>
      <x:c r="H23" s="160" t="str">
        <x:v>FY2026 guidance high end; stronger adoption</x:v>
      </x:c>
    </x:row>
    <x:row r="24">
      <x:c r="A24" s="158" t="str">
        <x:v>Revenue growth</x:v>
      </x:c>
      <x:c r="B24" s="159" t="str">
        <x:v>Downside</x:v>
      </x:c>
      <x:c r="C24" s="174" t="n">
        <x:v>0.13641049158301977</x:v>
      </x:c>
      <x:c r="D24" s="174" t="n">
        <x:v>0.05</x:v>
      </x:c>
      <x:c r="E24" s="174" t="n">
        <x:v>0.04</x:v>
      </x:c>
      <x:c r="F24" s="174" t="n">
        <x:v>0.04</x:v>
      </x:c>
      <x:c r="G24" s="174" t="n">
        <x:v>0.04</x:v>
      </x:c>
      <x:c r="H24" s="160" t="str">
        <x:v>FY2026 guidance low end; cyclical slowdown</x:v>
      </x:c>
    </x:row>
    <x:row r="25">
      <x:c r="A25" s="158" t="str">
        <x:v>Gross margin</x:v>
      </x:c>
      <x:c r="B25" s="159" t="str">
        <x:v>Base</x:v>
      </x:c>
      <x:c r="C25" s="174" t="n">
        <x:v>0.705</x:v>
      </x:c>
      <x:c r="D25" s="174" t="n">
        <x:v>0.707</x:v>
      </x:c>
      <x:c r="E25" s="174" t="n">
        <x:v>0.71</x:v>
      </x:c>
      <x:c r="F25" s="174" t="n">
        <x:v>0.712</x:v>
      </x:c>
      <x:c r="G25" s="174" t="n">
        <x:v>0.713</x:v>
      </x:c>
      <x:c r="H25" s="160" t="str">
        <x:v>Recovery with mix and volume; remains below peak</x:v>
      </x:c>
    </x:row>
    <x:row r="26">
      <x:c r="A26" s="158" t="str">
        <x:v>Gross margin</x:v>
      </x:c>
      <x:c r="B26" s="159" t="str">
        <x:v>Upside</x:v>
      </x:c>
      <x:c r="C26" s="174" t="n">
        <x:v>0.71</x:v>
      </x:c>
      <x:c r="D26" s="174" t="n">
        <x:v>0.715</x:v>
      </x:c>
      <x:c r="E26" s="174" t="n">
        <x:v>0.72</x:v>
      </x:c>
      <x:c r="F26" s="174" t="n">
        <x:v>0.725</x:v>
      </x:c>
      <x:c r="G26" s="174" t="n">
        <x:v>0.725</x:v>
      </x:c>
      <x:c r="H26" s="160" t="str">
        <x:v>Favorable mix and pricing</x:v>
      </x:c>
    </x:row>
    <x:row r="27">
      <x:c r="A27" s="158" t="str">
        <x:v>Gross margin</x:v>
      </x:c>
      <x:c r="B27" s="159" t="str">
        <x:v>Downside</x:v>
      </x:c>
      <x:c r="C27" s="174" t="n">
        <x:v>0.695</x:v>
      </x:c>
      <x:c r="D27" s="174" t="n">
        <x:v>0.69</x:v>
      </x:c>
      <x:c r="E27" s="174" t="n">
        <x:v>0.685</x:v>
      </x:c>
      <x:c r="F27" s="174" t="n">
        <x:v>0.685</x:v>
      </x:c>
      <x:c r="G27" s="174" t="n">
        <x:v>0.685</x:v>
      </x:c>
      <x:c r="H27" s="160" t="str">
        <x:v>Volume and price/cost pressure</x:v>
      </x:c>
    </x:row>
    <x:row r="28">
      <x:c r="A28" s="158" t="str">
        <x:v>R&amp;D % revenue</x:v>
      </x:c>
      <x:c r="B28" s="159" t="str">
        <x:v>Base</x:v>
      </x:c>
      <x:c r="C28" s="174" t="n">
        <x:v>0.135</x:v>
      </x:c>
      <x:c r="D28" s="174" t="n">
        <x:v>0.134</x:v>
      </x:c>
      <x:c r="E28" s="174" t="n">
        <x:v>0.133</x:v>
      </x:c>
      <x:c r="F28" s="174" t="n">
        <x:v>0.132</x:v>
      </x:c>
      <x:c r="G28" s="174" t="n">
        <x:v>0.132</x:v>
      </x:c>
      <x:c r="H28" s="160" t="str">
        <x:v>Maintain innovation investment; modest scale</x:v>
      </x:c>
    </x:row>
    <x:row r="29">
      <x:c r="A29" s="158" t="str">
        <x:v>R&amp;D % revenue</x:v>
      </x:c>
      <x:c r="B29" s="159" t="str">
        <x:v>Upside</x:v>
      </x:c>
      <x:c r="C29" s="174" t="n">
        <x:v>0.133</x:v>
      </x:c>
      <x:c r="D29" s="174" t="n">
        <x:v>0.13</x:v>
      </x:c>
      <x:c r="E29" s="174" t="n">
        <x:v>0.128</x:v>
      </x:c>
      <x:c r="F29" s="174" t="n">
        <x:v>0.126</x:v>
      </x:c>
      <x:c r="G29" s="174" t="n">
        <x:v>0.125</x:v>
      </x:c>
      <x:c r="H29" s="160" t="str">
        <x:v>Faster revenue scale</x:v>
      </x:c>
    </x:row>
    <x:row r="30">
      <x:c r="A30" s="158" t="str">
        <x:v>R&amp;D % revenue</x:v>
      </x:c>
      <x:c r="B30" s="159" t="str">
        <x:v>Downside</x:v>
      </x:c>
      <x:c r="C30" s="174" t="n">
        <x:v>0.14</x:v>
      </x:c>
      <x:c r="D30" s="174" t="n">
        <x:v>0.14</x:v>
      </x:c>
      <x:c r="E30" s="174" t="n">
        <x:v>0.14</x:v>
      </x:c>
      <x:c r="F30" s="174" t="n">
        <x:v>0.139</x:v>
      </x:c>
      <x:c r="G30" s="174" t="n">
        <x:v>0.138</x:v>
      </x:c>
      <x:c r="H30" s="160" t="str">
        <x:v>Protect product roadmap despite lower volume</x:v>
      </x:c>
    </x:row>
    <x:row r="31">
      <x:c r="A31" s="158" t="str">
        <x:v>SG&amp;A % revenue</x:v>
      </x:c>
      <x:c r="B31" s="159" t="str">
        <x:v>Base</x:v>
      </x:c>
      <x:c r="C31" s="174" t="n">
        <x:v>0.31</x:v>
      </x:c>
      <x:c r="D31" s="174" t="n">
        <x:v>0.305</x:v>
      </x:c>
      <x:c r="E31" s="174" t="n">
        <x:v>0.3</x:v>
      </x:c>
      <x:c r="F31" s="174" t="n">
        <x:v>0.295</x:v>
      </x:c>
      <x:c r="G31" s="174" t="n">
        <x:v>0.292</x:v>
      </x:c>
      <x:c r="H31" s="160" t="str">
        <x:v>Operating leverage with continued go-to-market investment</x:v>
      </x:c>
    </x:row>
    <x:row r="32">
      <x:c r="A32" s="158" t="str">
        <x:v>SG&amp;A % revenue</x:v>
      </x:c>
      <x:c r="B32" s="159" t="str">
        <x:v>Upside</x:v>
      </x:c>
      <x:c r="C32" s="174" t="n">
        <x:v>0.305</x:v>
      </x:c>
      <x:c r="D32" s="174" t="n">
        <x:v>0.295</x:v>
      </x:c>
      <x:c r="E32" s="174" t="n">
        <x:v>0.285</x:v>
      </x:c>
      <x:c r="F32" s="174" t="n">
        <x:v>0.275</x:v>
      </x:c>
      <x:c r="G32" s="174" t="n">
        <x:v>0.27</x:v>
      </x:c>
      <x:c r="H32" s="160" t="str">
        <x:v>Stronger fixed-cost absorption</x:v>
      </x:c>
    </x:row>
    <x:row r="33">
      <x:c r="A33" s="158" t="str">
        <x:v>SG&amp;A % revenue</x:v>
      </x:c>
      <x:c r="B33" s="159" t="str">
        <x:v>Downside</x:v>
      </x:c>
      <x:c r="C33" s="174" t="n">
        <x:v>0.325</x:v>
      </x:c>
      <x:c r="D33" s="174" t="n">
        <x:v>0.33</x:v>
      </x:c>
      <x:c r="E33" s="174" t="n">
        <x:v>0.33</x:v>
      </x:c>
      <x:c r="F33" s="174" t="n">
        <x:v>0.325</x:v>
      </x:c>
      <x:c r="G33" s="174" t="n">
        <x:v>0.32</x:v>
      </x:c>
      <x:c r="H33" s="160" t="str">
        <x:v>Lower fixed-cost absorption</x:v>
      </x:c>
    </x:row>
    <x:row r="34">
      <x:c r="A34" s="158" t="str">
        <x:v>D&amp;A % revenue</x:v>
      </x:c>
      <x:c r="B34" s="159" t="str">
        <x:v>Base</x:v>
      </x:c>
      <x:c r="C34" s="174" t="n">
        <x:v>0.03</x:v>
      </x:c>
      <x:c r="D34" s="174" t="n">
        <x:v>0.029</x:v>
      </x:c>
      <x:c r="E34" s="174" t="n">
        <x:v>0.028</x:v>
      </x:c>
      <x:c r="F34" s="174" t="n">
        <x:v>0.027</x:v>
      </x:c>
      <x:c r="G34" s="174" t="n">
        <x:v>0.026</x:v>
      </x:c>
      <x:c r="H34" s="160" t="str">
        <x:v>Normalized near recent run rate</x:v>
      </x:c>
    </x:row>
    <x:row r="35">
      <x:c r="A35" s="158" t="str">
        <x:v>D&amp;A % revenue</x:v>
      </x:c>
      <x:c r="B35" s="159" t="str">
        <x:v>Upside</x:v>
      </x:c>
      <x:c r="C35" s="174" t="n">
        <x:v>0.03</x:v>
      </x:c>
      <x:c r="D35" s="174" t="n">
        <x:v>0.029</x:v>
      </x:c>
      <x:c r="E35" s="174" t="n">
        <x:v>0.028</x:v>
      </x:c>
      <x:c r="F35" s="174" t="n">
        <x:v>0.027</x:v>
      </x:c>
      <x:c r="G35" s="174" t="n">
        <x:v>0.026</x:v>
      </x:c>
      <x:c r="H35" s="160" t="str">
        <x:v>Same asset intensity</x:v>
      </x:c>
    </x:row>
    <x:row r="36">
      <x:c r="A36" s="158" t="str">
        <x:v>D&amp;A % revenue</x:v>
      </x:c>
      <x:c r="B36" s="159" t="str">
        <x:v>Downside</x:v>
      </x:c>
      <x:c r="C36" s="174" t="n">
        <x:v>0.031</x:v>
      </x:c>
      <x:c r="D36" s="174" t="n">
        <x:v>0.031</x:v>
      </x:c>
      <x:c r="E36" s="174" t="n">
        <x:v>0.03</x:v>
      </x:c>
      <x:c r="F36" s="174" t="n">
        <x:v>0.03</x:v>
      </x:c>
      <x:c r="G36" s="174" t="n">
        <x:v>0.029</x:v>
      </x:c>
      <x:c r="H36" s="160" t="str">
        <x:v>Lower revenue absorption</x:v>
      </x:c>
    </x:row>
    <x:row r="37">
      <x:c r="A37" s="158" t="str">
        <x:v>Tax rate</x:v>
      </x:c>
      <x:c r="B37" s="159" t="str">
        <x:v>Base</x:v>
      </x:c>
      <x:c r="C37" s="174" t="n">
        <x:v>0.2</x:v>
      </x:c>
      <x:c r="D37" s="174" t="n">
        <x:v>0.2</x:v>
      </x:c>
      <x:c r="E37" s="174" t="n">
        <x:v>0.2</x:v>
      </x:c>
      <x:c r="F37" s="174" t="n">
        <x:v>0.2</x:v>
      </x:c>
      <x:c r="G37" s="174" t="n">
        <x:v>0.2</x:v>
      </x:c>
      <x:c r="H37" s="160" t="str">
        <x:v>Normalized rate; FY2025 distorted by discrete items</x:v>
      </x:c>
    </x:row>
    <x:row r="38">
      <x:c r="A38" s="158" t="str">
        <x:v>Tax rate</x:v>
      </x:c>
      <x:c r="B38" s="159" t="str">
        <x:v>Upside</x:v>
      </x:c>
      <x:c r="C38" s="174" t="n">
        <x:v>0.195</x:v>
      </x:c>
      <x:c r="D38" s="174" t="n">
        <x:v>0.195</x:v>
      </x:c>
      <x:c r="E38" s="174" t="n">
        <x:v>0.195</x:v>
      </x:c>
      <x:c r="F38" s="174" t="n">
        <x:v>0.195</x:v>
      </x:c>
      <x:c r="G38" s="174" t="n">
        <x:v>0.195</x:v>
      </x:c>
      <x:c r="H38" s="160" t="str">
        <x:v>Modestly favorable jurisdiction mix</x:v>
      </x:c>
    </x:row>
    <x:row r="39">
      <x:c r="A39" s="158" t="str">
        <x:v>Tax rate</x:v>
      </x:c>
      <x:c r="B39" s="159" t="str">
        <x:v>Downside</x:v>
      </x:c>
      <x:c r="C39" s="174" t="n">
        <x:v>0.21</x:v>
      </x:c>
      <x:c r="D39" s="174" t="n">
        <x:v>0.21</x:v>
      </x:c>
      <x:c r="E39" s="174" t="n">
        <x:v>0.21</x:v>
      </x:c>
      <x:c r="F39" s="174" t="n">
        <x:v>0.21</x:v>
      </x:c>
      <x:c r="G39" s="174" t="n">
        <x:v>0.21</x:v>
      </x:c>
      <x:c r="H39" s="160" t="str">
        <x:v>Less favorable jurisdiction mix</x:v>
      </x:c>
    </x:row>
    <x:row r="40">
      <x:c r="A40" s="158" t="str">
        <x:v>Net interest &amp; other % revenue</x:v>
      </x:c>
      <x:c r="B40" s="159" t="str">
        <x:v>Base</x:v>
      </x:c>
      <x:c r="C40" s="174" t="n">
        <x:v>0.015</x:v>
      </x:c>
      <x:c r="D40" s="174" t="n">
        <x:v>0.013</x:v>
      </x:c>
      <x:c r="E40" s="174" t="n">
        <x:v>0.011</x:v>
      </x:c>
      <x:c r="F40" s="174" t="n">
        <x:v>0.01</x:v>
      </x:c>
      <x:c r="G40" s="174" t="n">
        <x:v>0.009</x:v>
      </x:c>
      <x:c r="H40" s="160" t="str">
        <x:v>Declines as excess cash is returned or deployed</x:v>
      </x:c>
    </x:row>
    <x:row r="41">
      <x:c r="A41" s="158" t="str">
        <x:v>Net interest &amp; other % revenue</x:v>
      </x:c>
      <x:c r="B41" s="159" t="str">
        <x:v>Upside</x:v>
      </x:c>
      <x:c r="C41" s="174" t="n">
        <x:v>0.016</x:v>
      </x:c>
      <x:c r="D41" s="174" t="n">
        <x:v>0.014</x:v>
      </x:c>
      <x:c r="E41" s="174" t="n">
        <x:v>0.012</x:v>
      </x:c>
      <x:c r="F41" s="174" t="n">
        <x:v>0.011</x:v>
      </x:c>
      <x:c r="G41" s="174" t="n">
        <x:v>0.01</x:v>
      </x:c>
      <x:c r="H41" s="160" t="str">
        <x:v>Higher cash balances / yields</x:v>
      </x:c>
    </x:row>
    <x:row r="42">
      <x:c r="A42" s="158" t="str">
        <x:v>Net interest &amp; other % revenue</x:v>
      </x:c>
      <x:c r="B42" s="159" t="str">
        <x:v>Downside</x:v>
      </x:c>
      <x:c r="C42" s="174" t="n">
        <x:v>0.012</x:v>
      </x:c>
      <x:c r="D42" s="174" t="n">
        <x:v>0.01</x:v>
      </x:c>
      <x:c r="E42" s="174" t="n">
        <x:v>0.009</x:v>
      </x:c>
      <x:c r="F42" s="174" t="n">
        <x:v>0.008</x:v>
      </x:c>
      <x:c r="G42" s="174" t="n">
        <x:v>0.007</x:v>
      </x:c>
      <x:c r="H42" s="160" t="str">
        <x:v>Lower cash balances / yields</x:v>
      </x:c>
    </x:row>
    <x:row r="43">
      <x:c r="A43" s="158" t="str">
        <x:v>Capex % revenue</x:v>
      </x:c>
      <x:c r="B43" s="159" t="str">
        <x:v>Base</x:v>
      </x:c>
      <x:c r="C43" s="174" t="n">
        <x:v>0.015</x:v>
      </x:c>
      <x:c r="D43" s="174" t="n">
        <x:v>0.016</x:v>
      </x:c>
      <x:c r="E43" s="174" t="n">
        <x:v>0.017</x:v>
      </x:c>
      <x:c r="F43" s="174" t="n">
        <x:v>0.018</x:v>
      </x:c>
      <x:c r="G43" s="174" t="n">
        <x:v>0.018</x:v>
      </x:c>
      <x:c r="H43" s="160" t="str">
        <x:v>Normalized above unusually low FY2025</x:v>
      </x:c>
    </x:row>
    <x:row r="44">
      <x:c r="A44" s="158" t="str">
        <x:v>Capex % revenue</x:v>
      </x:c>
      <x:c r="B44" s="159" t="str">
        <x:v>Upside</x:v>
      </x:c>
      <x:c r="C44" s="174" t="n">
        <x:v>0.014</x:v>
      </x:c>
      <x:c r="D44" s="174" t="n">
        <x:v>0.015</x:v>
      </x:c>
      <x:c r="E44" s="174" t="n">
        <x:v>0.016</x:v>
      </x:c>
      <x:c r="F44" s="174" t="n">
        <x:v>0.017</x:v>
      </x:c>
      <x:c r="G44" s="174" t="n">
        <x:v>0.017</x:v>
      </x:c>
      <x:c r="H44" s="160" t="str">
        <x:v>Efficient growth investment</x:v>
      </x:c>
    </x:row>
    <x:row r="45">
      <x:c r="A45" s="158" t="str">
        <x:v>Capex % revenue</x:v>
      </x:c>
      <x:c r="B45" s="159" t="str">
        <x:v>Downside</x:v>
      </x:c>
      <x:c r="C45" s="174" t="n">
        <x:v>0.017</x:v>
      </x:c>
      <x:c r="D45" s="174" t="n">
        <x:v>0.018</x:v>
      </x:c>
      <x:c r="E45" s="174" t="n">
        <x:v>0.019</x:v>
      </x:c>
      <x:c r="F45" s="174" t="n">
        <x:v>0.02</x:v>
      </x:c>
      <x:c r="G45" s="174" t="n">
        <x:v>0.02</x:v>
      </x:c>
      <x:c r="H45" s="160" t="str">
        <x:v>Lower revenue absorption</x:v>
      </x:c>
    </x:row>
    <x:row r="46">
      <x:c r="A46" s="158" t="str">
        <x:v>Operating NWC % revenue</x:v>
      </x:c>
      <x:c r="B46" s="159" t="str">
        <x:v>Base</x:v>
      </x:c>
      <x:c r="C46" s="174" t="n">
        <x:v>0.23</x:v>
      </x:c>
      <x:c r="D46" s="174" t="n">
        <x:v>0.228</x:v>
      </x:c>
      <x:c r="E46" s="174" t="n">
        <x:v>0.225</x:v>
      </x:c>
      <x:c r="F46" s="174" t="n">
        <x:v>0.223</x:v>
      </x:c>
      <x:c r="G46" s="174" t="n">
        <x:v>0.22</x:v>
      </x:c>
      <x:c r="H46" s="160" t="str">
        <x:v>Near FY2025 with gradual efficiency</x:v>
      </x:c>
    </x:row>
    <x:row r="47">
      <x:c r="A47" s="158" t="str">
        <x:v>Operating NWC % revenue</x:v>
      </x:c>
      <x:c r="B47" s="159" t="str">
        <x:v>Upside</x:v>
      </x:c>
      <x:c r="C47" s="174" t="n">
        <x:v>0.225</x:v>
      </x:c>
      <x:c r="D47" s="174" t="n">
        <x:v>0.22</x:v>
      </x:c>
      <x:c r="E47" s="174" t="n">
        <x:v>0.215</x:v>
      </x:c>
      <x:c r="F47" s="174" t="n">
        <x:v>0.21</x:v>
      </x:c>
      <x:c r="G47" s="174" t="n">
        <x:v>0.205</x:v>
      </x:c>
      <x:c r="H47" s="160" t="str">
        <x:v>Better collections and inventory turns</x:v>
      </x:c>
    </x:row>
    <x:row r="48">
      <x:c r="A48" s="158" t="str">
        <x:v>Operating NWC % revenue</x:v>
      </x:c>
      <x:c r="B48" s="159" t="str">
        <x:v>Downside</x:v>
      </x:c>
      <x:c r="C48" s="174" t="n">
        <x:v>0.245</x:v>
      </x:c>
      <x:c r="D48" s="174" t="n">
        <x:v>0.25</x:v>
      </x:c>
      <x:c r="E48" s="174" t="n">
        <x:v>0.25</x:v>
      </x:c>
      <x:c r="F48" s="174" t="n">
        <x:v>0.248</x:v>
      </x:c>
      <x:c r="G48" s="174" t="n">
        <x:v>0.245</x:v>
      </x:c>
      <x:c r="H48" s="160" t="str">
        <x:v>Slower collections and inventory turns</x:v>
      </x:c>
    </x:row>
    <x:row r="49">
      <x:c r="A49" s="158" t="str">
        <x:v>Diluted share change</x:v>
      </x:c>
      <x:c r="B49" s="159" t="str">
        <x:v>Base</x:v>
      </x:c>
      <x:c r="C49" s="174" t="n">
        <x:v>-0.01</x:v>
      </x:c>
      <x:c r="D49" s="174" t="n">
        <x:v>-0.01</x:v>
      </x:c>
      <x:c r="E49" s="174" t="n">
        <x:v>-0.01</x:v>
      </x:c>
      <x:c r="F49" s="174" t="n">
        <x:v>-0.01</x:v>
      </x:c>
      <x:c r="G49" s="174" t="n">
        <x:v>-0.01</x:v>
      </x:c>
      <x:c r="H49" s="160" t="str">
        <x:v>Moderate net repurchases</x:v>
      </x:c>
    </x:row>
    <x:row r="50">
      <x:c r="A50" s="158" t="str">
        <x:v>Diluted share change</x:v>
      </x:c>
      <x:c r="B50" s="159" t="str">
        <x:v>Upside</x:v>
      </x:c>
      <x:c r="C50" s="174" t="n">
        <x:v>-0.012</x:v>
      </x:c>
      <x:c r="D50" s="174" t="n">
        <x:v>-0.012</x:v>
      </x:c>
      <x:c r="E50" s="174" t="n">
        <x:v>-0.012</x:v>
      </x:c>
      <x:c r="F50" s="174" t="n">
        <x:v>-0.012</x:v>
      </x:c>
      <x:c r="G50" s="174" t="n">
        <x:v>-0.012</x:v>
      </x:c>
      <x:c r="H50" s="160" t="str">
        <x:v>Stronger repurchase capacity</x:v>
      </x:c>
    </x:row>
    <x:row r="51">
      <x:c r="A51" s="161" t="str">
        <x:v>Diluted share change</x:v>
      </x:c>
      <x:c r="B51" s="162" t="str">
        <x:v>Downside</x:v>
      </x:c>
      <x:c r="C51" s="175" t="n">
        <x:v>0</x:v>
      </x:c>
      <x:c r="D51" s="175" t="n">
        <x:v>0</x:v>
      </x:c>
      <x:c r="E51" s="175" t="n">
        <x:v>0</x:v>
      </x:c>
      <x:c r="F51" s="175" t="n">
        <x:v>0</x:v>
      </x:c>
      <x:c r="G51" s="175" t="n">
        <x:v>0</x:v>
      </x:c>
      <x:c r="H51" s="163" t="str">
        <x:v>Preserve liquidity; SBC offsets repurchases</x:v>
      </x:c>
    </x:row>
    <x:row r="54">
      <x:c r="A54" s="139" t="str">
        <x:v>ROK BUYER FORECAST ASSUMPTIONS — BASE CASE</x:v>
      </x:c>
      <x:c r="B54" s="139"/>
      <x:c r="C54" s="139"/>
      <x:c r="D54" s="139"/>
      <x:c r="E54" s="139"/>
      <x:c r="F54" s="139"/>
      <x:c r="G54" s="139"/>
      <x:c r="H54" s="139"/>
    </x:row>
    <x:row r="55">
      <x:c r="A55" s="144" t="str">
        <x:v>Driver</x:v>
      </x:c>
      <x:c r="B55" s="144" t="str">
        <x:v>Case</x:v>
      </x:c>
      <x:c r="C55" s="144" t="str">
        <x:v>FY2026E</x:v>
      </x:c>
      <x:c r="D55" s="144" t="str">
        <x:v>FY2027E</x:v>
      </x:c>
      <x:c r="E55" s="144" t="str">
        <x:v>FY2028E</x:v>
      </x:c>
      <x:c r="F55" s="144" t="str">
        <x:v>FY2029E</x:v>
      </x:c>
      <x:c r="G55" s="144" t="str">
        <x:v>FY2030E</x:v>
      </x:c>
      <x:c r="H55" s="144" t="str">
        <x:v>Source / rationale</x:v>
      </x:c>
    </x:row>
    <x:row r="56">
      <x:c r="A56" s="155" t="str">
        <x:v>Revenue growth</x:v>
      </x:c>
      <x:c r="B56" s="156" t="str">
        <x:v>Base</x:v>
      </x:c>
      <x:c r="C56" s="173" t="n">
        <x:v>0.085</x:v>
      </x:c>
      <x:c r="D56" s="173" t="n">
        <x:v>0.05</x:v>
      </x:c>
      <x:c r="E56" s="173" t="n">
        <x:v>0.045</x:v>
      </x:c>
      <x:c r="F56" s="173" t="n">
        <x:v>0.04</x:v>
      </x:c>
      <x:c r="G56" s="173" t="n">
        <x:v>0.04</x:v>
      </x:c>
      <x:c r="H56" s="157" t="str">
        <x:v>FY2026: S-018 guidance midpoint; outer years normalize</x:v>
      </x:c>
    </x:row>
    <x:row r="57">
      <x:c r="A57" s="158" t="str">
        <x:v>Enterprise operating margin</x:v>
      </x:c>
      <x:c r="B57" s="159" t="str">
        <x:v>Base</x:v>
      </x:c>
      <x:c r="C57" s="174" t="n">
        <x:v>0.215</x:v>
      </x:c>
      <x:c r="D57" s="174" t="n">
        <x:v>0.217</x:v>
      </x:c>
      <x:c r="E57" s="174" t="n">
        <x:v>0.219</x:v>
      </x:c>
      <x:c r="F57" s="174" t="n">
        <x:v>0.22</x:v>
      </x:c>
      <x:c r="G57" s="174" t="n">
        <x:v>0.22</x:v>
      </x:c>
      <x:c r="H57" s="160" t="str">
        <x:v>FY2026: S-018; modest longer-term expansion</x:v>
      </x:c>
    </x:row>
    <x:row r="58">
      <x:c r="A58" s="158" t="str">
        <x:v>Adjusted diluted EPS</x:v>
      </x:c>
      <x:c r="B58" s="159" t="str">
        <x:v>Base</x:v>
      </x:c>
      <x:c r="C58" s="176" t="n">
        <x:v>13.15</x:v>
      </x:c>
      <x:c r="D58" s="176"/>
      <x:c r="E58" s="176"/>
      <x:c r="F58" s="176"/>
      <x:c r="G58" s="176"/>
      <x:c r="H58" s="160" t="str">
        <x:v>FY2026: S-018 guidance midpoint</x:v>
      </x:c>
    </x:row>
    <x:row r="59">
      <x:c r="A59" s="158" t="str">
        <x:v>Adjusted EPS growth</x:v>
      </x:c>
      <x:c r="B59" s="159" t="str">
        <x:v>Base</x:v>
      </x:c>
      <x:c r="C59" s="174"/>
      <x:c r="D59" s="174" t="n">
        <x:v>0.06</x:v>
      </x:c>
      <x:c r="E59" s="174" t="n">
        <x:v>0.06</x:v>
      </x:c>
      <x:c r="F59" s="174" t="n">
        <x:v>0.05</x:v>
      </x:c>
      <x:c r="G59" s="174" t="n">
        <x:v>0.05</x:v>
      </x:c>
      <x:c r="H59" s="160" t="str">
        <x:v>Outer years: analyst assumption</x:v>
      </x:c>
    </x:row>
    <x:row r="60">
      <x:c r="A60" s="158" t="str">
        <x:v>Diluted share change</x:v>
      </x:c>
      <x:c r="B60" s="159" t="str">
        <x:v>Base</x:v>
      </x:c>
      <x:c r="C60" s="174" t="n">
        <x:v>-0.008</x:v>
      </x:c>
      <x:c r="D60" s="174" t="n">
        <x:v>-0.008</x:v>
      </x:c>
      <x:c r="E60" s="174" t="n">
        <x:v>-0.008</x:v>
      </x:c>
      <x:c r="F60" s="174" t="n">
        <x:v>-0.008</x:v>
      </x:c>
      <x:c r="G60" s="174" t="n">
        <x:v>-0.008</x:v>
      </x:c>
      <x:c r="H60" s="160" t="str">
        <x:v>Moderate net repurchases</x:v>
      </x:c>
    </x:row>
    <x:row r="61">
      <x:c r="A61" s="161" t="str">
        <x:v>FCF conversion</x:v>
      </x:c>
      <x:c r="B61" s="162" t="str">
        <x:v>Base</x:v>
      </x:c>
      <x:c r="C61" s="175" t="n">
        <x:v>1</x:v>
      </x:c>
      <x:c r="D61" s="175" t="n">
        <x:v>1</x:v>
      </x:c>
      <x:c r="E61" s="175" t="n">
        <x:v>1</x:v>
      </x:c>
      <x:c r="F61" s="175" t="n">
        <x:v>1</x:v>
      </x:c>
      <x:c r="G61" s="175" t="n">
        <x:v>1</x:v>
      </x:c>
      <x:c r="H61" s="163" t="str">
        <x:v>FY2026: management outlook; held constant</x:v>
      </x:c>
    </x:row>
  </x:sheetData>
  <x:mergeCells>
    <x:mergeCell ref="A1:H1"/>
    <x:mergeCell ref="A3:D3"/>
    <x:mergeCell ref="A12:D12"/>
    <x:mergeCell ref="A20:H20"/>
    <x:mergeCell ref="A54:H54"/>
  </x:mergeCells>
  <x:dataValidations count="1">
    <x:dataValidation type="list" sqref="B5">
      <x:formula1>"Base,Upside,Downside"</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2" hidden="0" customWidth="1"/>
    <x:col min="3" max="3" width="25" hidden="0" customWidth="1"/>
    <x:col min="4" max="4" width="14" hidden="0" customWidth="1"/>
    <x:col min="5" max="5" width="14" hidden="0" customWidth="1"/>
    <x:col min="6" max="6" width="38" hidden="0" customWidth="1"/>
    <x:col min="7" max="7" width="62" hidden="0" customWidth="1"/>
    <x:col min="8" max="8" width="28" hidden="0" customWidth="1"/>
  </x:cols>
  <x:sheetData>
    <x:row r="1" ht="26" customHeight="1">
      <x:c r="A1" s="119" t="str">
        <x:v>Sources &amp; Audit Trail</x:v>
      </x:c>
      <x:c r="B1" s="119"/>
      <x:c r="C1" s="119"/>
      <x:c r="D1" s="119"/>
      <x:c r="E1" s="119"/>
      <x:c r="F1" s="119"/>
      <x:c r="G1" s="119"/>
      <x:c r="H1" s="119"/>
    </x:row>
    <x:row r="2">
      <x:c r="A2" s="120" t="str">
        <x:v>Primary-source documents supporting historical financial statements and model inputs</x:v>
      </x:c>
      <x:c r="B2" s="120"/>
      <x:c r="C2" s="120"/>
      <x:c r="D2" s="120"/>
      <x:c r="E2" s="120"/>
      <x:c r="F2" s="120"/>
      <x:c r="G2" s="120"/>
      <x:c r="H2" s="120"/>
    </x:row>
    <x:row r="3">
      <x:c r="A3" s="121" t="str">
        <x:v>Source ID</x:v>
      </x:c>
      <x:c r="B3" s="121" t="str">
        <x:v>Company</x:v>
      </x:c>
      <x:c r="C3" s="121" t="str">
        <x:v>Document</x:v>
      </x:c>
      <x:c r="D3" s="121" t="str">
        <x:v>Publication date</x:v>
      </x:c>
      <x:c r="E3" s="121" t="str">
        <x:v>Access date</x:v>
      </x:c>
      <x:c r="F3" s="121" t="str">
        <x:v>Model use</x:v>
      </x:c>
      <x:c r="G3" s="121" t="str">
        <x:v>URL</x:v>
      </x:c>
      <x:c r="H3" s="121" t="str">
        <x:v>Notes</x:v>
      </x:c>
    </x:row>
    <x:row r="4" ht="24" hidden="0" customHeight="1">
      <x:c r="A4" s="128" t="str">
        <x:v>S-017</x:v>
      </x:c>
      <x:c r="B4" s="126" t="str">
        <x:v>Rockwell Automation</x:v>
      </x:c>
      <x:c r="C4" s="126" t="str">
        <x:v>FY2025 Form 10-K</x:v>
      </x:c>
      <x:c r="D4" s="127" t="n">
        <x:v>45973.5</x:v>
      </x:c>
      <x:c r="E4" s="127" t="n">
        <x:v>46254.5</x:v>
      </x:c>
      <x:c r="F4" s="126" t="str">
        <x:v>FY2023-FY2025 historicals; business and segment research</x:v>
      </x:c>
      <x:c r="G4" s="126" t="str">
        <x:v>https://www.sec.gov/Archives/edgar/data/1024478/000102447825000116/rok-20250930.htm</x:v>
      </x:c>
      <x:c r="H4" s="126" t="str">
        <x:v>Primary audited filing</x:v>
      </x:c>
    </x:row>
    <x:row r="5" ht="15" hidden="0" customHeight="1">
      <x:c r="A5" s="128" t="str">
        <x:v>S-019</x:v>
      </x:c>
      <x:c r="B5" s="126" t="str">
        <x:v>Cognex</x:v>
      </x:c>
      <x:c r="C5" s="126" t="str">
        <x:v>FY2025 Form 10-K</x:v>
      </x:c>
      <x:c r="D5" s="127" t="n">
        <x:v>46065.5</x:v>
      </x:c>
      <x:c r="E5" s="127" t="n">
        <x:v>46254.5</x:v>
      </x:c>
      <x:c r="F5" s="126" t="str">
        <x:v>FY2023-FY2025 historical statements and operating data</x:v>
      </x:c>
      <x:c r="G5" s="126" t="str">
        <x:v>https://www.sec.gov/Archives/edgar/data/851205/000085120526000012/cgnx-20251231.htm</x:v>
      </x:c>
      <x:c r="H5" s="126" t="str">
        <x:v>Primary audited filing</x:v>
      </x:c>
    </x:row>
    <x:row r="6" ht="15" hidden="0" customHeight="1">
      <x:c r="A6" s="128" t="str">
        <x:v>S-025</x:v>
      </x:c>
      <x:c r="B6" s="126" t="str">
        <x:v>Cognex</x:v>
      </x:c>
      <x:c r="C6" s="126" t="str">
        <x:v>FY2023 Form 10-K</x:v>
      </x:c>
      <x:c r="D6" s="127" t="n">
        <x:v>45337.5</x:v>
      </x:c>
      <x:c r="E6" s="127" t="n">
        <x:v>46254.5</x:v>
      </x:c>
      <x:c r="F6" s="126" t="str">
        <x:v>FY2021-FY2023 comparative historical statements</x:v>
      </x:c>
      <x:c r="G6" s="126" t="str">
        <x:v>https://www.sec.gov/Archives/edgar/data/851205/000085120524000027/cgnx-20231231.htm</x:v>
      </x:c>
      <x:c r="H6" s="126" t="str">
        <x:v>Primary audited filing</x:v>
      </x:c>
    </x:row>
    <x:row r="7" ht="24" hidden="0" customHeight="1">
      <x:c r="A7" s="128" t="str">
        <x:v>S-026</x:v>
      </x:c>
      <x:c r="B7" s="126" t="str">
        <x:v>Rockwell Automation</x:v>
      </x:c>
      <x:c r="C7" s="126" t="str">
        <x:v>FY2022 Form 10-K</x:v>
      </x:c>
      <x:c r="D7" s="127" t="n">
        <x:v>44873.5</x:v>
      </x:c>
      <x:c r="E7" s="127" t="n">
        <x:v>46254.5</x:v>
      </x:c>
      <x:c r="F7" s="126" t="str">
        <x:v>FY2021-FY2022 history and total segment operating earnings</x:v>
      </x:c>
      <x:c r="G7" s="126" t="str">
        <x:v>https://www.sec.gov/Archives/edgar/data/1024478/000102447822000093/rok-20220930.htm</x:v>
      </x:c>
      <x:c r="H7" s="126" t="str">
        <x:v>Primary audited filing</x:v>
      </x:c>
    </x:row>
    <x:row r="8" ht="15" hidden="0" customHeight="1">
      <x:c r="A8" s="128" t="str">
        <x:v>S-027</x:v>
      </x:c>
      <x:c r="B8" s="126" t="str">
        <x:v>Rockwell Automation</x:v>
      </x:c>
      <x:c r="C8" s="126" t="str">
        <x:v>SEC Company Facts API</x:v>
      </x:c>
      <x:c r="D8" s="127" t="n">
        <x:v>46254.5</x:v>
      </x:c>
      <x:c r="E8" s="127" t="n">
        <x:v>46254.5</x:v>
      </x:c>
      <x:c r="F8" s="126" t="str">
        <x:v>XBRL extraction and statement tie-out</x:v>
      </x:c>
      <x:c r="G8" s="126" t="str">
        <x:v>https://data.sec.gov/api/xbrl/companyfacts/CIK0001024478.json</x:v>
      </x:c>
      <x:c r="H8" s="126" t="str">
        <x:v>Primary SEC structured data</x:v>
      </x:c>
    </x:row>
    <x:row r="9" ht="15" hidden="0" customHeight="1">
      <x:c r="A9" s="128" t="str">
        <x:v>S-028</x:v>
      </x:c>
      <x:c r="B9" s="126" t="str">
        <x:v>Cognex</x:v>
      </x:c>
      <x:c r="C9" s="126" t="str">
        <x:v>SEC Company Facts API</x:v>
      </x:c>
      <x:c r="D9" s="127" t="n">
        <x:v>46254.5</x:v>
      </x:c>
      <x:c r="E9" s="127" t="n">
        <x:v>46254.5</x:v>
      </x:c>
      <x:c r="F9" s="126" t="str">
        <x:v>XBRL extraction and statement tie-out</x:v>
      </x:c>
      <x:c r="G9" s="126" t="str">
        <x:v>https://data.sec.gov/api/xbrl/companyfacts/CIK0000851205.json</x:v>
      </x:c>
      <x:c r="H9" s="126" t="str">
        <x:v>Primary SEC structured data</x:v>
      </x:c>
    </x:row>
    <x:row r="10" ht="42" customHeight="1">
      <x:c r="A10" s="251" t="str">
        <x:v>S-022</x:v>
      </x:c>
      <x:c r="B10" s="252" t="str">
        <x:v>Cognex</x:v>
      </x:c>
      <x:c r="C10" s="252" t="str">
        <x:v>Second-quarter 2026 results</x:v>
      </x:c>
      <x:c r="D10" s="253" t="n">
        <x:v>46239</x:v>
      </x:c>
      <x:c r="E10" s="253" t="n">
        <x:v>46254</x:v>
      </x:c>
      <x:c r="F10" s="252" t="str">
        <x:v>Latest cash, investments, debt and share information</x:v>
      </x:c>
      <x:c r="G10" s="252" t="str">
        <x:v>https://www.sec.gov/Archives/edgar/data/851205/000085120526000061/a07052026-xex991xq22026ear.htm</x:v>
      </x:c>
      <x:c r="H10" s="254" t="str">
        <x:v>Company earnings release furnished to SEC</x:v>
      </x:c>
    </x:row>
    <x:row r="11" ht="42" customHeight="1">
      <x:c r="A11" s="255" t="str">
        <x:v>S-029</x:v>
      </x:c>
      <x:c r="B11" s="256" t="str">
        <x:v>U.S. Treasury</x:v>
      </x:c>
      <x:c r="C11" s="256" t="str">
        <x:v>Daily Treasury Par Yield Curve Rates</x:v>
      </x:c>
      <x:c r="D11" s="257" t="n">
        <x:v>46254</x:v>
      </x:c>
      <x:c r="E11" s="257" t="n">
        <x:v>46254</x:v>
      </x:c>
      <x:c r="F11" s="256" t="str">
        <x:v>10-year risk-free rate for CAPM</x:v>
      </x:c>
      <x:c r="G11" s="256" t="str">
        <x:v>https://home.treasury.gov/resource-center/data-chart-center/interest-rates/TextView?field_tdr_date_value=2026&amp;type=daily_treasury_yield_curve</x:v>
      </x:c>
      <x:c r="H11" s="258" t="str">
        <x:v>10-year Treasury yield rounded to 4.7%</x:v>
      </x:c>
    </x:row>
    <x:row r="12" ht="42" customHeight="1">
      <x:c r="A12" s="255" t="str">
        <x:v>S-030</x:v>
      </x:c>
      <x:c r="B12" s="256" t="str">
        <x:v>Kroll</x:v>
      </x:c>
      <x:c r="C12" s="256" t="str">
        <x:v>Recommended U.S. Equity Risk Premium</x:v>
      </x:c>
      <x:c r="D12" s="257" t="n">
        <x:v>46142</x:v>
      </x:c>
      <x:c r="E12" s="257" t="n">
        <x:v>46254</x:v>
      </x:c>
      <x:c r="F12" s="256" t="str">
        <x:v>Equity risk premium for CAPM</x:v>
      </x:c>
      <x:c r="G12" s="256" t="str">
        <x:v>https://www.kroll.com/en/reports/cost-of-capital/recommended-us-equity-risk-premium-and-corresponding-risk-free-rates</x:v>
      </x:c>
      <x:c r="H12" s="258" t="str">
        <x:v>5.0% recommended U.S. ERP</x:v>
      </x:c>
    </x:row>
    <x:row r="13" ht="42" customHeight="1">
      <x:c r="A13" s="259" t="str">
        <x:v>S-031</x:v>
      </x:c>
      <x:c r="B13" s="260" t="str">
        <x:v>Market data</x:v>
      </x:c>
      <x:c r="C13" s="260" t="str">
        <x:v>Cognex stock statistics</x:v>
      </x:c>
      <x:c r="D13" s="261" t="n">
        <x:v>46248</x:v>
      </x:c>
      <x:c r="E13" s="261" t="n">
        <x:v>46254</x:v>
      </x:c>
      <x:c r="F13" s="260" t="str">
        <x:v>Observed five-year beta</x:v>
      </x:c>
      <x:c r="G13" s="260" t="str">
        <x:v>https://stockanalysis.com/stocks/cgnx/</x:v>
      </x:c>
      <x:c r="H13" s="262" t="str">
        <x:v>Observed beta rounded to 1.50; adjusted toward 1.0</x:v>
      </x:c>
    </x:row>
    <x:row r="14" ht="32" customHeight="1">
      <x:c r="A14" s="480" t="str">
        <x:v>S-032</x:v>
      </x:c>
      <x:c r="B14" s="480" t="str">
        <x:v>Keyence</x:v>
      </x:c>
      <x:c r="C14" s="480" t="str">
        <x:v>Stock statistics and valuation metrics</x:v>
      </x:c>
      <x:c r="D14" s="481" t="n">
        <x:v>46254</x:v>
      </x:c>
      <x:c r="E14" s="481" t="n">
        <x:v>46254</x:v>
      </x:c>
      <x:c r="F14" s="480" t="str">
        <x:v>Trading comps market values, margins and multiples</x:v>
      </x:c>
      <x:c r="G14" s="480" t="str">
        <x:v>https://stockanalysis.com/quote/tyo/6861/statistics/</x:v>
      </x:c>
      <x:c r="H14" s="480" t="str">
        <x:v>S&amp;P Global Market Intelligence; JPY values</x:v>
      </x:c>
    </x:row>
    <x:row r="15" ht="32" customHeight="1">
      <x:c r="A15" s="480" t="str">
        <x:v>S-033</x:v>
      </x:c>
      <x:c r="B15" s="480" t="str">
        <x:v>Teledyne Technologies</x:v>
      </x:c>
      <x:c r="C15" s="480" t="str">
        <x:v>Stock statistics and valuation metrics</x:v>
      </x:c>
      <x:c r="D15" s="481" t="n">
        <x:v>46249</x:v>
      </x:c>
      <x:c r="E15" s="481" t="n">
        <x:v>46254</x:v>
      </x:c>
      <x:c r="F15" s="480" t="str">
        <x:v>Trading comps market values, margins and multiples</x:v>
      </x:c>
      <x:c r="G15" s="480" t="str">
        <x:v>https://stockanalysis.com/stocks/tdy/statistics/</x:v>
      </x:c>
      <x:c r="H15" s="480" t="str">
        <x:v>S&amp;P Global Market Intelligence; USD values</x:v>
      </x:c>
    </x:row>
    <x:row r="16" ht="32" customHeight="1">
      <x:c r="A16" s="480" t="str">
        <x:v>S-034</x:v>
      </x:c>
      <x:c r="B16" s="480" t="str">
        <x:v>Zebra Technologies</x:v>
      </x:c>
      <x:c r="C16" s="480" t="str">
        <x:v>Stock statistics and valuation metrics</x:v>
      </x:c>
      <x:c r="D16" s="481" t="n">
        <x:v>46248</x:v>
      </x:c>
      <x:c r="E16" s="481" t="n">
        <x:v>46254</x:v>
      </x:c>
      <x:c r="F16" s="480" t="str">
        <x:v>Trading comps market values, margins and multiples</x:v>
      </x:c>
      <x:c r="G16" s="480" t="str">
        <x:v>https://stockanalysis.com/stocks/zbra/statistics/</x:v>
      </x:c>
      <x:c r="H16" s="480" t="str">
        <x:v>S&amp;P Global Market Intelligence; USD values</x:v>
      </x:c>
    </x:row>
    <x:row r="17" ht="32" customHeight="1">
      <x:c r="A17" s="480" t="str">
        <x:v>S-035</x:v>
      </x:c>
      <x:c r="B17" s="480" t="str">
        <x:v>AMETEK</x:v>
      </x:c>
      <x:c r="C17" s="480" t="str">
        <x:v>Stock statistics and valuation metrics</x:v>
      </x:c>
      <x:c r="D17" s="481" t="n">
        <x:v>46248</x:v>
      </x:c>
      <x:c r="E17" s="481" t="n">
        <x:v>46254</x:v>
      </x:c>
      <x:c r="F17" s="480" t="str">
        <x:v>Trading comps market values, margins and multiples</x:v>
      </x:c>
      <x:c r="G17" s="480" t="str">
        <x:v>https://stockanalysis.com/stocks/ame/statistics/</x:v>
      </x:c>
      <x:c r="H17" s="480" t="str">
        <x:v>S&amp;P Global Market Intelligence; USD values</x:v>
      </x:c>
    </x:row>
    <x:row r="18" ht="32" customHeight="1">
      <x:c r="A18" s="480" t="str">
        <x:v>S-036</x:v>
      </x:c>
      <x:c r="B18" s="480" t="str">
        <x:v>Fortive</x:v>
      </x:c>
      <x:c r="C18" s="480" t="str">
        <x:v>Stock statistics and valuation metrics</x:v>
      </x:c>
      <x:c r="D18" s="481" t="n">
        <x:v>46246</x:v>
      </x:c>
      <x:c r="E18" s="481" t="n">
        <x:v>46254</x:v>
      </x:c>
      <x:c r="F18" s="480" t="str">
        <x:v>Trading comps market values, margins and multiples</x:v>
      </x:c>
      <x:c r="G18" s="480" t="str">
        <x:v>https://stockanalysis.com/stocks/ftv/statistics/</x:v>
      </x:c>
      <x:c r="H18" s="480" t="str">
        <x:v>S&amp;P Global Market Intelligence; USD values</x:v>
      </x:c>
    </x:row>
    <x:row r="19" ht="32" customHeight="1">
      <x:c r="A19" s="480" t="str">
        <x:v>S-037</x:v>
      </x:c>
      <x:c r="B19" s="480" t="str">
        <x:v>Trimble</x:v>
      </x:c>
      <x:c r="C19" s="480" t="str">
        <x:v>Stock statistics and valuation metrics</x:v>
      </x:c>
      <x:c r="D19" s="481" t="n">
        <x:v>46248</x:v>
      </x:c>
      <x:c r="E19" s="481" t="n">
        <x:v>46254</x:v>
      </x:c>
      <x:c r="F19" s="480" t="str">
        <x:v>Trading comps market values, margins and multiples</x:v>
      </x:c>
      <x:c r="G19" s="480" t="str">
        <x:v>https://stockanalysis.com/stocks/trmb/statistics/</x:v>
      </x:c>
      <x:c r="H19" s="480" t="str">
        <x:v>S&amp;P Global Market Intelligence; USD values</x:v>
      </x:c>
    </x:row>
    <x:row r="20" ht="32" customHeight="1">
      <x:c r="A20" s="480" t="str">
        <x:v>S-038</x:v>
      </x:c>
      <x:c r="B20" s="480" t="str">
        <x:v>Rockwell Automation</x:v>
      </x:c>
      <x:c r="C20" s="480" t="str">
        <x:v>Stock statistics and valuation metrics</x:v>
      </x:c>
      <x:c r="D20" s="481" t="n">
        <x:v>46247</x:v>
      </x:c>
      <x:c r="E20" s="481" t="n">
        <x:v>46254</x:v>
      </x:c>
      <x:c r="F20" s="480" t="str">
        <x:v>Trading comps market values, margins and multiples</x:v>
      </x:c>
      <x:c r="G20" s="480" t="str">
        <x:v>https://stockanalysis.com/stocks/rok/statistics/</x:v>
      </x:c>
      <x:c r="H20" s="480" t="str">
        <x:v>S&amp;P Global Market Intelligence; USD values</x:v>
      </x:c>
    </x:row>
    <x:row r="21" ht="32" customHeight="1">
      <x:c r="A21" s="480" t="str">
        <x:v>S-039</x:v>
      </x:c>
      <x:c r="B21" s="480" t="str">
        <x:v>Cognex</x:v>
      </x:c>
      <x:c r="C21" s="480" t="str">
        <x:v>Stock price and statistics</x:v>
      </x:c>
      <x:c r="D21" s="481" t="n">
        <x:v>46254</x:v>
      </x:c>
      <x:c r="E21" s="481" t="n">
        <x:v>46255</x:v>
      </x:c>
      <x:c r="F21" s="480" t="str">
        <x:v>Unaffected share-price reference for premium analysis</x:v>
      </x:c>
      <x:c r="G21" s="480" t="str">
        <x:v>https://stockanalysis.com/stocks/cgnx/</x:v>
      </x:c>
      <x:c r="H21" s="480" t="str">
        <x:v>$59.73 closing price on Aug. 20, 2026</x:v>
      </x:c>
    </x:row>
    <x:row r="22" ht="32" customHeight="1">
      <x:c r="A22" s="480" t="str">
        <x:v>S-040</x:v>
      </x:c>
      <x:c r="B22" s="480" t="str">
        <x:v>Atlas Copco / ISRA VISION</x:v>
      </x:c>
      <x:c r="C22" s="480" t="str">
        <x:v>Transaction announcement</x:v>
      </x:c>
      <x:c r="D22" s="481" t="n">
        <x:v>43871</x:v>
      </x:c>
      <x:c r="E22" s="481" t="n">
        <x:v>46255</x:v>
      </x:c>
      <x:c r="F22" s="480" t="str">
        <x:v>EV, revenue, EBIT and premium</x:v>
      </x:c>
      <x:c r="G22" s="480" t="str">
        <x:v>https://www.atlascopcogroup.com/en/media/press-releases/2020/20200210-isra</x:v>
      </x:c>
      <x:c r="H22" s="480" t="str">
        <x:v>Primary buyer announcement</x:v>
      </x:c>
    </x:row>
    <x:row r="23" ht="32" customHeight="1">
      <x:c r="A23" s="480" t="str">
        <x:v>S-041</x:v>
      </x:c>
      <x:c r="B23" s="480" t="str">
        <x:v>Teledyne / FLIR</x:v>
      </x:c>
      <x:c r="C23" s="480" t="str">
        <x:v>Transaction announcement</x:v>
      </x:c>
      <x:c r="D23" s="481" t="n">
        <x:v>44200</x:v>
      </x:c>
      <x:c r="E23" s="481" t="n">
        <x:v>46255</x:v>
      </x:c>
      <x:c r="F23" s="480" t="str">
        <x:v>Transaction value and premium</x:v>
      </x:c>
      <x:c r="G23" s="480" t="str">
        <x:v>https://www.teledyne.com/en-us/news/Pages/Teledyne-to-Acquire-FLIR-Systems.aspx</x:v>
      </x:c>
      <x:c r="H23" s="480" t="str">
        <x:v>Primary joint announcement</x:v>
      </x:c>
    </x:row>
    <x:row r="24" ht="32" customHeight="1">
      <x:c r="A24" s="480" t="str">
        <x:v>S-042</x:v>
      </x:c>
      <x:c r="B24" s="480" t="str">
        <x:v>FLIR Systems</x:v>
      </x:c>
      <x:c r="C24" s="480" t="str">
        <x:v>FY2020 Form 10-K</x:v>
      </x:c>
      <x:c r="D24" s="481" t="n">
        <x:v>44253</x:v>
      </x:c>
      <x:c r="E24" s="481" t="n">
        <x:v>46255</x:v>
      </x:c>
      <x:c r="F24" s="480" t="str">
        <x:v>Revenue, EBIT and D&amp;A</x:v>
      </x:c>
      <x:c r="G24" s="480" t="str">
        <x:v>https://www.sec.gov/Archives/edgar/data/354908/000035490821000016/flir-20201231.htm</x:v>
      </x:c>
      <x:c r="H24" s="480" t="str">
        <x:v>Primary audited filing</x:v>
      </x:c>
    </x:row>
    <x:row r="25" ht="32" customHeight="1">
      <x:c r="A25" s="480" t="str">
        <x:v>S-043</x:v>
      </x:c>
      <x:c r="B25" s="480" t="str">
        <x:v>Zebra / Matrox Imaging</x:v>
      </x:c>
      <x:c r="C25" s="480" t="str">
        <x:v>Transaction announcement</x:v>
      </x:c>
      <x:c r="D25" s="481" t="n">
        <x:v>44635</x:v>
      </x:c>
      <x:c r="E25" s="481" t="n">
        <x:v>46255</x:v>
      </x:c>
      <x:c r="F25" s="480" t="str">
        <x:v>Purchase price and annual-sales estimate</x:v>
      </x:c>
      <x:c r="G25" s="480" t="str">
        <x:v>https://www.zebra.com/us/en/about-zebra/newsroom/press-releases/2022/zebra-technologies-to-acquire-matrox-imaging.html</x:v>
      </x:c>
      <x:c r="H25" s="480" t="str">
        <x:v>Primary buyer announcement</x:v>
      </x:c>
    </x:row>
    <x:row r="26" ht="32" customHeight="1">
      <x:c r="A26" s="480" t="str">
        <x:v>S-044</x:v>
      </x:c>
      <x:c r="B26" s="480" t="str">
        <x:v>Emerson / NI</x:v>
      </x:c>
      <x:c r="C26" s="480" t="str">
        <x:v>Transaction announcement</x:v>
      </x:c>
      <x:c r="D26" s="481" t="n">
        <x:v>45028</x:v>
      </x:c>
      <x:c r="E26" s="481" t="n">
        <x:v>46255</x:v>
      </x:c>
      <x:c r="F26" s="480" t="str">
        <x:v>Equity value, revenue, premium and synergies</x:v>
      </x:c>
      <x:c r="G26" s="480" t="str">
        <x:v>https://www.emerson.com/en/corporate/news/2023/04-emerson-ni-acquisition</x:v>
      </x:c>
      <x:c r="H26" s="480" t="str">
        <x:v>Primary joint announcement</x:v>
      </x:c>
    </x:row>
    <x:row r="27" ht="32" customHeight="1">
      <x:c r="A27" s="480" t="str">
        <x:v>S-045</x:v>
      </x:c>
      <x:c r="B27" s="480" t="str">
        <x:v>Emerson</x:v>
      </x:c>
      <x:c r="C27" s="480" t="str">
        <x:v>Q2 FY2024 Form 10-Q</x:v>
      </x:c>
      <x:c r="D27" s="481" t="n">
        <x:v>45420</x:v>
      </x:c>
      <x:c r="E27" s="481" t="n">
        <x:v>46255</x:v>
      </x:c>
      <x:c r="F27" s="480" t="str">
        <x:v>NI cash consideration including debt payoff</x:v>
      </x:c>
      <x:c r="G27" s="480" t="str">
        <x:v>https://ir.emerson.com/sec-filings/all-sec-filings/content/0000032604-24-000024/emr-20240331.htm</x:v>
      </x:c>
      <x:c r="H27" s="480" t="str">
        <x:v>Primary SEC filing</x:v>
      </x:c>
    </x:row>
    <x:row r="28" ht="32" customHeight="1">
      <x:c r="A28" s="480" t="str">
        <x:v>S-046</x:v>
      </x:c>
      <x:c r="B28" s="480" t="str">
        <x:v>Cognex / Moritex</x:v>
      </x:c>
      <x:c r="C28" s="480" t="str">
        <x:v>Transaction announcement</x:v>
      </x:c>
      <x:c r="D28" s="481" t="n">
        <x:v>45167</x:v>
      </x:c>
      <x:c r="E28" s="481" t="n">
        <x:v>46255</x:v>
      </x:c>
      <x:c r="F28" s="480" t="str">
        <x:v>Purchase price and expected revenue contribution</x:v>
      </x:c>
      <x:c r="G28" s="480" t="str">
        <x:v>https://investor.cognex.com/news/news-details/2023/Cognex-To-Acquire-Moritex-Corporation-A-Global-Leader-In-Machine-Vision-Optics-Components-And-Advanced-Imaging-Solutions/default.aspx</x:v>
      </x:c>
      <x:c r="H28" s="480" t="str">
        <x:v>Primary buyer announcement; revenue estimated</x:v>
      </x:c>
    </x:row>
    <x:row r="29" ht="32" customHeight="1">
      <x:c r="A29" s="480" t="str">
        <x:v>S-047</x:v>
      </x:c>
      <x:c r="B29" s="480" t="str">
        <x:v>Honeywell / Carrier</x:v>
      </x:c>
      <x:c r="C29" s="480" t="str">
        <x:v>Transaction announcement</x:v>
      </x:c>
      <x:c r="D29" s="481" t="n">
        <x:v>45268</x:v>
      </x:c>
      <x:c r="E29" s="481" t="n">
        <x:v>46255</x:v>
      </x:c>
      <x:c r="F29" s="480" t="str">
        <x:v>Transaction EV and EBITDA multiples</x:v>
      </x:c>
      <x:c r="G29" s="480" t="str">
        <x:v>https://investor.honeywell.com/news-releases/news-release-details/honeywell-strengthen-building-automation-business-acquisition</x:v>
      </x:c>
      <x:c r="H29" s="480" t="str">
        <x:v>Primary buyer announcement</x:v>
      </x:c>
    </x:row>
    <x:row r="30" ht="32" customHeight="1">
      <x:c r="A30" s="480" t="str">
        <x:v>S-048</x:v>
      </x:c>
      <x:c r="B30" s="480" t="str">
        <x:v>Siemens / Altair</x:v>
      </x:c>
      <x:c r="C30" s="480" t="str">
        <x:v>Transaction announcement</x:v>
      </x:c>
      <x:c r="D30" s="481" t="n">
        <x:v>45595</x:v>
      </x:c>
      <x:c r="E30" s="481" t="n">
        <x:v>46255</x:v>
      </x:c>
      <x:c r="F30" s="480" t="str">
        <x:v>Transaction EV and premium</x:v>
      </x:c>
      <x:c r="G30" s="480" t="str">
        <x:v>https://press.siemens.com/global/en/pressrelease/siemens-strengthens-leadership-industrial-software-and-ai-acquisition-altair</x:v>
      </x:c>
      <x:c r="H30" s="480" t="str">
        <x:v>Primary buyer announcement</x:v>
      </x:c>
    </x:row>
    <x:row r="31" ht="32" customHeight="1">
      <x:c r="A31" s="480" t="str">
        <x:v>S-049</x:v>
      </x:c>
      <x:c r="B31" s="480" t="str">
        <x:v>Altair Engineering</x:v>
      </x:c>
      <x:c r="C31" s="480" t="str">
        <x:v>FY2024 results</x:v>
      </x:c>
      <x:c r="D31" s="481" t="n">
        <x:v>45708</x:v>
      </x:c>
      <x:c r="E31" s="481" t="n">
        <x:v>46255</x:v>
      </x:c>
      <x:c r="F31" s="480" t="str">
        <x:v>Revenue and adjusted EBITDA reference</x:v>
      </x:c>
      <x:c r="G31" s="480" t="str">
        <x:v>https://www.sec.gov/Archives/edgar/data/1701732/000095017025024159/altr-ex99_1.htm</x:v>
      </x:c>
      <x:c r="H31" s="480" t="str">
        <x:v>Primary company release furnished to SEC</x:v>
      </x:c>
    </x:row>
    <x:row r="32" ht="32" customHeight="1">
      <x:c r="A32" s="480" t="str">
        <x:v>S-018</x:v>
      </x:c>
      <x:c r="B32" s="480" t="str">
        <x:v>Rockwell Automation</x:v>
      </x:c>
      <x:c r="C32" s="480" t="str">
        <x:v>Fiscal third-quarter 2026 results</x:v>
      </x:c>
      <x:c r="D32" s="481" t="n">
        <x:v>46238</x:v>
      </x:c>
      <x:c r="E32" s="481" t="n">
        <x:v>46255</x:v>
      </x:c>
      <x:c r="F32" s="480" t="str">
        <x:v>FY2026 buyer guidance and current operating momentum</x:v>
      </x:c>
      <x:c r="G32" s="480" t="str">
        <x:v>https://www.rockwellautomation.com/en-se/company/news/press-releases/Rockwell-Automation-Reports-Third-Quarter-2026-Results.html</x:v>
      </x:c>
      <x:c r="H32" s="480" t="str">
        <x:v>Primary company release</x:v>
      </x:c>
    </x:row>
    <x:row r="33" ht="32" customHeight="1">
      <x:c r="A33" s="480" t="str">
        <x:v>S-050</x:v>
      </x:c>
      <x:c r="B33" s="480" t="str">
        <x:v>Rockwell Automation</x:v>
      </x:c>
      <x:c r="C33" s="480" t="str">
        <x:v>Q2 FY2026 Form 10-Q</x:v>
      </x:c>
      <x:c r="D33" s="481" t="n">
        <x:v>46147</x:v>
      </x:c>
      <x:c r="E33" s="481" t="n">
        <x:v>46255</x:v>
      </x:c>
      <x:c r="F33" s="480" t="str">
        <x:v>Cash, funded debt, revolver capacity, and interest-coverage covenant</x:v>
      </x:c>
      <x:c r="G33" s="480" t="str">
        <x:v>https://www.sec.gov/Archives/edgar/data/1024478/000102447826000022/rok-20260331.htm</x:v>
      </x:c>
      <x:c r="H33" s="480" t="str">
        <x:v>Primary SEC filing; latest full balance sheet used</x:v>
      </x:c>
    </x:row>
    <x:row r="34" ht="32" customHeight="1">
      <x:c r="A34" s="480" t="str">
        <x:v>S-051</x:v>
      </x:c>
      <x:c r="B34" s="480" t="str">
        <x:v>Rockwell Automation</x:v>
      </x:c>
      <x:c r="C34" s="480" t="str">
        <x:v>Historical stock price</x:v>
      </x:c>
      <x:c r="D34" s="481" t="n">
        <x:v>46254</x:v>
      </x:c>
      <x:c r="E34" s="481" t="n">
        <x:v>46255</x:v>
      </x:c>
      <x:c r="F34" s="480" t="str">
        <x:v>Buyer share price for stock consideration and new-share issuance</x:v>
      </x:c>
      <x:c r="G34" s="480" t="str">
        <x:v>https://stockanalysis.com/stocks/rok/history/</x:v>
      </x:c>
      <x:c r="H34" s="480" t="str">
        <x:v>$431.45 closing price on Aug. 20, 2026</x:v>
      </x:c>
    </x:row>
    <x:row r="35" ht="38" customHeight="1">
      <x:c r="A35" s="480" t="str">
        <x:v>S-052</x:v>
      </x:c>
      <x:c r="B35" s="480" t="str">
        <x:v>Cognex</x:v>
      </x:c>
      <x:c r="C35" s="480" t="str">
        <x:v>Second-quarter 2026 results and balance sheet</x:v>
      </x:c>
      <x:c r="D35" s="481" t="n">
        <x:v>46240</x:v>
      </x:c>
      <x:c r="E35" s="481" t="n">
        <x:v>46255</x:v>
      </x:c>
      <x:c r="F35" s="480" t="str">
        <x:v>Latest target shareholders’ equity, existing goodwill, existing intangible assets, and balance-sheet context</x:v>
      </x:c>
      <x:c r="G35" s="480" t="str">
        <x:v>https://www.prnewswire.com/news-releases/cognex-reports-second-quarter-2026-results-302844140.html</x:v>
      </x:c>
      <x:c r="H35" s="480" t="str">
        <x:v>Company-issued earnings release; unaudited July 5, 2026 balance sheet</x:v>
      </x:c>
    </x:row>
  </x:sheetData>
  <x:mergeCells>
    <x:mergeCell ref="A1:H1"/>
    <x:mergeCell ref="A2:H2"/>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16" hidden="0" customWidth="1"/>
    <x:col min="8" max="8" width="48" hidden="0" customWidth="1"/>
  </x:cols>
  <x:sheetData>
    <x:row r="1" ht="26" customHeight="1">
      <x:c r="A1" s="61" t="str">
        <x:v>ROK Historical</x:v>
      </x:c>
      <x:c r="B1" s="62"/>
      <x:c r="C1" s="62"/>
      <x:c r="D1" s="62"/>
      <x:c r="E1" s="62"/>
      <x:c r="F1" s="62"/>
      <x:c r="G1" s="63"/>
      <x:c r="H1" s="64"/>
    </x:row>
    <x:row r="2" ht="22" customHeight="1">
      <x:c r="A2" s="69" t="str">
        <x:v>Rockwell Automation historical financial and transaction-capacity summary | USD millions, except per-share data</x:v>
      </x:c>
      <x:c r="B2" s="70"/>
      <x:c r="C2" s="70"/>
      <x:c r="D2" s="70"/>
      <x:c r="E2" s="70"/>
      <x:c r="F2" s="70"/>
      <x:c r="G2" s="71"/>
      <x:c r="H2" s="72"/>
    </x:row>
    <x:row r="3">
      <x:c r="A3" s="73" t="str">
        <x:v>Status</x:v>
      </x:c>
      <x:c r="B3" s="75" t="str">
        <x:v>Complete — FY2021 to FY2025 audited history loaded</x:v>
      </x:c>
      <x:c r="C3" s="75"/>
      <x:c r="D3" s="75"/>
      <x:c r="E3" s="75"/>
      <x:c r="F3" s="75"/>
      <x:c r="G3" s="54"/>
      <x:c r="H3" s="56"/>
    </x:row>
    <x:row r="4">
      <x:c r="A4" s="52"/>
      <x:c r="B4" s="53"/>
      <x:c r="C4" s="53"/>
      <x:c r="D4" s="53"/>
      <x:c r="E4" s="53"/>
      <x:c r="F4" s="53"/>
      <x:c r="G4" s="54"/>
      <x:c r="H4" s="56"/>
    </x:row>
    <x:row r="5" ht="19" customHeight="1">
      <x:c r="A5" s="76" t="str">
        <x:v>EARNINGS AND PROFITABILITY</x:v>
      </x:c>
      <x:c r="B5" s="77"/>
      <x:c r="C5" s="77"/>
      <x:c r="D5" s="77"/>
      <x:c r="E5" s="77"/>
      <x:c r="F5" s="77"/>
      <x:c r="G5" s="78"/>
      <x:c r="H5" s="79"/>
    </x:row>
    <x:row r="6">
      <x:c r="A6" s="88" t="str">
        <x:v>Fiscal year ended</x:v>
      </x:c>
      <x:c r="B6" s="92" t="n">
        <x:v>44469.5</x:v>
      </x:c>
      <x:c r="C6" s="92" t="n">
        <x:v>44834.5</x:v>
      </x:c>
      <x:c r="D6" s="92" t="n">
        <x:v>45199.5</x:v>
      </x:c>
      <x:c r="E6" s="92" t="n">
        <x:v>45565.5</x:v>
      </x:c>
      <x:c r="F6" s="92" t="n">
        <x:v>45930.5</x:v>
      </x:c>
      <x:c r="G6" s="90" t="str">
        <x:v>Source</x:v>
      </x:c>
      <x:c r="H6" s="91" t="str">
        <x:v>Notes</x:v>
      </x:c>
    </x:row>
    <x:row r="7">
      <x:c r="A7" s="52" t="str">
        <x:v>Revenue</x:v>
      </x:c>
      <x:c r="B7" s="93" t="n">
        <x:v>6997.4</x:v>
      </x:c>
      <x:c r="C7" s="93" t="n">
        <x:v>7760.4</x:v>
      </x:c>
      <x:c r="D7" s="93" t="n">
        <x:v>9058</x:v>
      </x:c>
      <x:c r="E7" s="93" t="n">
        <x:v>8264</x:v>
      </x:c>
      <x:c r="F7" s="93" t="n">
        <x:v>8342</x:v>
      </x:c>
      <x:c r="G7" s="54" t="str">
        <x:v>S-026 / S-017</x:v>
      </x:c>
      <x:c r="H7" s="56" t="str"/>
    </x:row>
    <x:row r="8">
      <x:c r="A8" s="52" t="str">
        <x:v>% growth</x:v>
      </x:c>
      <x:c r="B8" s="94"/>
      <x:c r="C8" s="94" t="n">
        <x:f>C7/B7-1</x:f>
        <x:v>0.10904050075742422</x:v>
      </x:c>
      <x:c r="D8" s="94" t="n">
        <x:f>D7/C7-1</x:f>
        <x:v>0.16720787588268649</x:v>
      </x:c>
      <x:c r="E8" s="94" t="n">
        <x:f>E7/D7-1</x:f>
        <x:v>-0.08765731949657762</x:v>
      </x:c>
      <x:c r="F8" s="94" t="n">
        <x:f>F7/E7-1</x:f>
        <x:v>0.009438528557599302</x:v>
      </x:c>
      <x:c r="G8" s="54"/>
      <x:c r="H8" s="56"/>
    </x:row>
    <x:row r="9">
      <x:c r="A9" s="99" t="str">
        <x:v>Total segment operating earnings</x:v>
      </x:c>
      <x:c r="B9" s="100" t="n">
        <x:v>1391.3</x:v>
      </x:c>
      <x:c r="C9" s="100" t="n">
        <x:v>1542.6</x:v>
      </x:c>
      <x:c r="D9" s="100" t="n">
        <x:v>1929</x:v>
      </x:c>
      <x:c r="E9" s="100" t="n">
        <x:v>1595</x:v>
      </x:c>
      <x:c r="F9" s="100" t="n">
        <x:v>1703</x:v>
      </x:c>
      <x:c r="G9" s="54" t="str">
        <x:v>S-026 / S-017</x:v>
      </x:c>
      <x:c r="H9" s="56" t="str">
        <x:v>Company-defined non-GAAP measure; best consistent operating-profit series</x:v>
      </x:c>
    </x:row>
    <x:row r="10">
      <x:c r="A10" s="52" t="str">
        <x:v>Total segment operating margin</x:v>
      </x:c>
      <x:c r="B10" s="94" t="n">
        <x:f>B9/B7</x:f>
        <x:v>0.19883099436933718</x:v>
      </x:c>
      <x:c r="C10" s="94" t="n">
        <x:f>C9/C7</x:f>
        <x:v>0.19877841348384104</x:v>
      </x:c>
      <x:c r="D10" s="94" t="n">
        <x:f>D9/D7</x:f>
        <x:v>0.21296091852506072</x:v>
      </x:c>
      <x:c r="E10" s="94" t="n">
        <x:f>E9/E7</x:f>
        <x:v>0.1930058083252662</x:v>
      </x:c>
      <x:c r="F10" s="94" t="n">
        <x:f>F9/F7</x:f>
        <x:v>0.20414768640613762</x:v>
      </x:c>
      <x:c r="G10" s="54"/>
      <x:c r="H10" s="56"/>
    </x:row>
    <x:row r="11">
      <x:c r="A11" s="52" t="str">
        <x:v>Net non-segment items</x:v>
      </x:c>
      <x:c r="B11" s="93" t="n">
        <x:f>B12-B9</x:f>
        <x:v>134.9000000000001</x:v>
      </x:c>
      <x:c r="C11" s="93" t="n">
        <x:f>C12-C9</x:f>
        <x:v>-469</x:v>
      </x:c>
      <x:c r="D11" s="93" t="n">
        <x:f>D12-D9</x:f>
        <x:v>-321</x:v>
      </x:c>
      <x:c r="E11" s="93" t="n">
        <x:f>E12-E9</x:f>
        <x:v>-495</x:v>
      </x:c>
      <x:c r="F11" s="93" t="n">
        <x:f>F12-F9</x:f>
        <x:v>-786</x:v>
      </x:c>
      <x:c r="G11" s="54"/>
      <x:c r="H11" s="56"/>
    </x:row>
    <x:row r="12">
      <x:c r="A12" s="99" t="str">
        <x:v>Income before income taxes</x:v>
      </x:c>
      <x:c r="B12" s="100" t="n">
        <x:v>1526.2</x:v>
      </x:c>
      <x:c r="C12" s="100" t="n">
        <x:v>1073.6</x:v>
      </x:c>
      <x:c r="D12" s="100" t="n">
        <x:v>1608</x:v>
      </x:c>
      <x:c r="E12" s="100" t="n">
        <x:v>1100</x:v>
      </x:c>
      <x:c r="F12" s="100" t="n">
        <x:v>917</x:v>
      </x:c>
      <x:c r="G12" s="54" t="str">
        <x:v>S-026 / S-017</x:v>
      </x:c>
      <x:c r="H12" s="56" t="str"/>
    </x:row>
    <x:row r="13">
      <x:c r="A13" s="52" t="str">
        <x:v>Income tax expense</x:v>
      </x:c>
      <x:c r="B13" s="93" t="n">
        <x:v>181.9</x:v>
      </x:c>
      <x:c r="C13" s="93" t="n">
        <x:v>154.5</x:v>
      </x:c>
      <x:c r="D13" s="93" t="n">
        <x:v>330</x:v>
      </x:c>
      <x:c r="E13" s="93" t="n">
        <x:v>152</x:v>
      </x:c>
      <x:c r="F13" s="93" t="n">
        <x:v>168</x:v>
      </x:c>
      <x:c r="G13" s="54" t="str">
        <x:v>S-026 / S-017</x:v>
      </x:c>
      <x:c r="H13" s="56" t="str"/>
    </x:row>
    <x:row r="14">
      <x:c r="A14" s="52" t="str">
        <x:v>Effective tax rate</x:v>
      </x:c>
      <x:c r="B14" s="94" t="n">
        <x:f>B13/B12</x:f>
        <x:v>0.11918490368234831</x:v>
      </x:c>
      <x:c r="C14" s="94" t="n">
        <x:f>C13/C12</x:f>
        <x:v>0.14390834575260805</x:v>
      </x:c>
      <x:c r="D14" s="94" t="n">
        <x:f>D13/D12</x:f>
        <x:v>0.20522388059701493</x:v>
      </x:c>
      <x:c r="E14" s="94" t="n">
        <x:f>E13/E12</x:f>
        <x:v>0.13818181818181818</x:v>
      </x:c>
      <x:c r="F14" s="94" t="n">
        <x:f>F13/F12</x:f>
        <x:v>0.183206106870229</x:v>
      </x:c>
      <x:c r="G14" s="54"/>
      <x:c r="H14" s="56"/>
    </x:row>
    <x:row r="15">
      <x:c r="A15" s="99" t="str">
        <x:v>Net income attributable to Rockwell</x:v>
      </x:c>
      <x:c r="B15" s="100" t="n">
        <x:v>1358.1</x:v>
      </x:c>
      <x:c r="C15" s="100" t="n">
        <x:v>932.2</x:v>
      </x:c>
      <x:c r="D15" s="100" t="n">
        <x:v>1387</x:v>
      </x:c>
      <x:c r="E15" s="100" t="n">
        <x:v>953</x:v>
      </x:c>
      <x:c r="F15" s="100" t="n">
        <x:v>869</x:v>
      </x:c>
      <x:c r="G15" s="54" t="str">
        <x:v>S-026 / S-017</x:v>
      </x:c>
      <x:c r="H15" s="56" t="str"/>
    </x:row>
    <x:row r="16">
      <x:c r="A16" s="52" t="str">
        <x:v>Net income margin</x:v>
      </x:c>
      <x:c r="B16" s="94" t="n">
        <x:f>B15/B7</x:f>
        <x:v>0.19408637493926315</x:v>
      </x:c>
      <x:c r="C16" s="94" t="n">
        <x:f>C15/C7</x:f>
        <x:v>0.1201226740889645</x:v>
      </x:c>
      <x:c r="D16" s="94" t="n">
        <x:f>D15/D7</x:f>
        <x:v>0.153124310002208</x:v>
      </x:c>
      <x:c r="E16" s="94" t="n">
        <x:f>E15/E7</x:f>
        <x:v>0.11531945788964182</x:v>
      </x:c>
      <x:c r="F16" s="94" t="n">
        <x:f>F15/F7</x:f>
        <x:v>0.10417166147206905</x:v>
      </x:c>
      <x:c r="G16" s="54"/>
      <x:c r="H16" s="56"/>
    </x:row>
    <x:row r="17">
      <x:c r="A17" s="52" t="str">
        <x:v>Diluted weighted average shares</x:v>
      </x:c>
      <x:c r="B17" s="95" t="n">
        <x:v>117.1</x:v>
      </x:c>
      <x:c r="C17" s="95" t="n">
        <x:v>116.7</x:v>
      </x:c>
      <x:c r="D17" s="95" t="n">
        <x:v>115.6</x:v>
      </x:c>
      <x:c r="E17" s="95" t="n">
        <x:v>114.5</x:v>
      </x:c>
      <x:c r="F17" s="95" t="n">
        <x:v>113.1</x:v>
      </x:c>
      <x:c r="G17" s="54" t="str">
        <x:v>S-026 / S-017</x:v>
      </x:c>
      <x:c r="H17" s="56" t="str"/>
    </x:row>
    <x:row r="18">
      <x:c r="A18" s="99" t="str">
        <x:v>Diluted EPS — calculated</x:v>
      </x:c>
      <x:c r="B18" s="102" t="n">
        <x:f>B15/B17</x:f>
        <x:v>11.597779675491033</x:v>
      </x:c>
      <x:c r="C18" s="102" t="n">
        <x:f>C15/C17</x:f>
        <x:v>7.988003427592116</x:v>
      </x:c>
      <x:c r="D18" s="102" t="n">
        <x:f>D15/D17</x:f>
        <x:v>11.998269896193772</x:v>
      </x:c>
      <x:c r="E18" s="102" t="n">
        <x:f>E15/E17</x:f>
        <x:v>8.323144104803493</x:v>
      </x:c>
      <x:c r="F18" s="102" t="n">
        <x:f>F15/F17</x:f>
        <x:v>7.683465959328029</x:v>
      </x:c>
      <x:c r="G18" s="54"/>
      <x:c r="H18" s="56"/>
    </x:row>
    <x:row r="19">
      <x:c r="A19" s="52" t="str">
        <x:v>Diluted EPS — reported</x:v>
      </x:c>
      <x:c r="B19" s="96" t="n">
        <x:v>11.58</x:v>
      </x:c>
      <x:c r="C19" s="96" t="n">
        <x:v>7.97</x:v>
      </x:c>
      <x:c r="D19" s="96" t="n">
        <x:v>11.95</x:v>
      </x:c>
      <x:c r="E19" s="96" t="n">
        <x:v>8.28</x:v>
      </x:c>
      <x:c r="F19" s="96" t="n">
        <x:v>7.67</x:v>
      </x:c>
      <x:c r="G19" s="54" t="str">
        <x:v>S-026 / S-017</x:v>
      </x:c>
      <x:c r="H19" s="56" t="str"/>
    </x:row>
    <x:row r="20">
      <x:c r="A20" s="52" t="str">
        <x:v>EPS tie-out</x:v>
      </x:c>
      <x:c r="B20" s="97" t="n">
        <x:f>B18-B19</x:f>
        <x:v>0.017779675491032876</x:v>
      </x:c>
      <x:c r="C20" s="97" t="n">
        <x:f>C18-C19</x:f>
        <x:v>0.018003427592116594</x:v>
      </x:c>
      <x:c r="D20" s="97" t="n">
        <x:f>D18-D19</x:f>
        <x:v>0.048269896193772865</x:v>
      </x:c>
      <x:c r="E20" s="97" t="n">
        <x:f>E18-E19</x:f>
        <x:v>0.04314410480349373</x:v>
      </x:c>
      <x:c r="F20" s="97" t="n">
        <x:f>F18-F19</x:f>
        <x:v>0.013465959328028632</x:v>
      </x:c>
      <x:c r="G20" s="54"/>
      <x:c r="H20" s="56"/>
    </x:row>
    <x:row r="21">
      <x:c r="A21" s="52"/>
      <x:c r="B21" s="53"/>
      <x:c r="C21" s="53"/>
      <x:c r="D21" s="53"/>
      <x:c r="E21" s="53"/>
      <x:c r="F21" s="53"/>
      <x:c r="G21" s="54"/>
      <x:c r="H21" s="56"/>
    </x:row>
    <x:row r="22" ht="19" customHeight="1">
      <x:c r="A22" s="76" t="str">
        <x:v>CASH FLOW AND FINANCING CAPACITY</x:v>
      </x:c>
      <x:c r="B22" s="77"/>
      <x:c r="C22" s="77"/>
      <x:c r="D22" s="77"/>
      <x:c r="E22" s="77"/>
      <x:c r="F22" s="77"/>
      <x:c r="G22" s="78"/>
      <x:c r="H22" s="79"/>
    </x:row>
    <x:row r="23">
      <x:c r="A23" s="88" t="str">
        <x:v>Fiscal year ended</x:v>
      </x:c>
      <x:c r="B23" s="92" t="n">
        <x:v>44469.5</x:v>
      </x:c>
      <x:c r="C23" s="92" t="n">
        <x:v>44834.5</x:v>
      </x:c>
      <x:c r="D23" s="92" t="n">
        <x:v>45199.5</x:v>
      </x:c>
      <x:c r="E23" s="92" t="n">
        <x:v>45565.5</x:v>
      </x:c>
      <x:c r="F23" s="92" t="n">
        <x:v>45930.5</x:v>
      </x:c>
      <x:c r="G23" s="90" t="str">
        <x:v>Source</x:v>
      </x:c>
      <x:c r="H23" s="91" t="str">
        <x:v>Notes</x:v>
      </x:c>
    </x:row>
    <x:row r="24">
      <x:c r="A24" s="52" t="str">
        <x:v>Net income</x:v>
      </x:c>
      <x:c r="B24" s="93" t="n">
        <x:f>B15</x:f>
        <x:v>1358.1</x:v>
      </x:c>
      <x:c r="C24" s="93" t="n">
        <x:f>C15</x:f>
        <x:v>932.2</x:v>
      </x:c>
      <x:c r="D24" s="93" t="n">
        <x:f>D15</x:f>
        <x:v>1387</x:v>
      </x:c>
      <x:c r="E24" s="93" t="n">
        <x:f>E15</x:f>
        <x:v>953</x:v>
      </x:c>
      <x:c r="F24" s="93" t="n">
        <x:f>F15</x:f>
        <x:v>869</x:v>
      </x:c>
      <x:c r="G24" s="54"/>
      <x:c r="H24" s="56"/>
    </x:row>
    <x:row r="25">
      <x:c r="A25" s="52" t="str">
        <x:v>Depreciation &amp; amortization</x:v>
      </x:c>
      <x:c r="B25" s="93" t="n">
        <x:v>189.8</x:v>
      </x:c>
      <x:c r="C25" s="93" t="n">
        <x:v>238.9</x:v>
      </x:c>
      <x:c r="D25" s="93" t="n">
        <x:v>250</x:v>
      </x:c>
      <x:c r="E25" s="93" t="n">
        <x:v>317</x:v>
      </x:c>
      <x:c r="F25" s="93" t="n">
        <x:v>325</x:v>
      </x:c>
      <x:c r="G25" s="54" t="str">
        <x:v>S-026 / S-017</x:v>
      </x:c>
      <x:c r="H25" s="56" t="str"/>
    </x:row>
    <x:row r="26">
      <x:c r="A26" s="52" t="str">
        <x:v>Stock-based compensation</x:v>
      </x:c>
      <x:c r="B26" s="93" t="n">
        <x:v>51.7</x:v>
      </x:c>
      <x:c r="C26" s="93" t="n">
        <x:v>68.1</x:v>
      </x:c>
      <x:c r="D26" s="93" t="n">
        <x:v>88</x:v>
      </x:c>
      <x:c r="E26" s="93" t="n">
        <x:v>100</x:v>
      </x:c>
      <x:c r="F26" s="93" t="n">
        <x:v>85</x:v>
      </x:c>
      <x:c r="G26" s="54" t="str">
        <x:v>S-026 / S-017</x:v>
      </x:c>
      <x:c r="H26" s="56" t="str"/>
    </x:row>
    <x:row r="27">
      <x:c r="A27" s="99" t="str">
        <x:v>Cash provided by operating activities</x:v>
      </x:c>
      <x:c r="B27" s="100" t="n">
        <x:v>1261</x:v>
      </x:c>
      <x:c r="C27" s="100" t="n">
        <x:v>823.1</x:v>
      </x:c>
      <x:c r="D27" s="100" t="n">
        <x:v>1374</x:v>
      </x:c>
      <x:c r="E27" s="100" t="n">
        <x:v>864</x:v>
      </x:c>
      <x:c r="F27" s="100" t="n">
        <x:v>1544</x:v>
      </x:c>
      <x:c r="G27" s="54" t="str">
        <x:v>S-026 / S-017</x:v>
      </x:c>
      <x:c r="H27" s="56" t="str"/>
    </x:row>
    <x:row r="28">
      <x:c r="A28" s="52" t="str">
        <x:v>Capital expenditures</x:v>
      </x:c>
      <x:c r="B28" s="93" t="n">
        <x:v>-120.3</x:v>
      </x:c>
      <x:c r="C28" s="93" t="n">
        <x:v>-141.1</x:v>
      </x:c>
      <x:c r="D28" s="93" t="n">
        <x:v>-160.5</x:v>
      </x:c>
      <x:c r="E28" s="93" t="n">
        <x:v>-225</x:v>
      </x:c>
      <x:c r="F28" s="93" t="n">
        <x:v>-186</x:v>
      </x:c>
      <x:c r="G28" s="54" t="str">
        <x:v>S-026 / S-017</x:v>
      </x:c>
      <x:c r="H28" s="56" t="str">
        <x:v>Presented as a cash outflow</x:v>
      </x:c>
    </x:row>
    <x:row r="29">
      <x:c r="A29" s="99" t="str">
        <x:v>Free cash flow</x:v>
      </x:c>
      <x:c r="B29" s="100" t="n">
        <x:f>SUM(B27:B28)</x:f>
        <x:v>1140.7</x:v>
      </x:c>
      <x:c r="C29" s="100" t="n">
        <x:f>SUM(C27:C28)</x:f>
        <x:v>682</x:v>
      </x:c>
      <x:c r="D29" s="100" t="n">
        <x:f>SUM(D27:D28)</x:f>
        <x:v>1213.5</x:v>
      </x:c>
      <x:c r="E29" s="100" t="n">
        <x:f>SUM(E27:E28)</x:f>
        <x:v>639</x:v>
      </x:c>
      <x:c r="F29" s="100" t="n">
        <x:f>SUM(F27:F28)</x:f>
        <x:v>1358</x:v>
      </x:c>
      <x:c r="G29" s="54"/>
      <x:c r="H29" s="56"/>
    </x:row>
    <x:row r="30">
      <x:c r="A30" s="52" t="str">
        <x:v>Free cash flow margin</x:v>
      </x:c>
      <x:c r="B30" s="94" t="n">
        <x:f>B29/B7</x:f>
        <x:v>0.16301769228570615</x:v>
      </x:c>
      <x:c r="C30" s="94" t="n">
        <x:f>C29/C7</x:f>
        <x:v>0.08788206793464255</x:v>
      </x:c>
      <x:c r="D30" s="94" t="n">
        <x:f>D29/D7</x:f>
        <x:v>0.13396997129609184</x:v>
      </x:c>
      <x:c r="E30" s="94" t="n">
        <x:f>E29/E7</x:f>
        <x:v>0.07732333010648597</x:v>
      </x:c>
      <x:c r="F30" s="94" t="n">
        <x:f>F29/F7</x:f>
        <x:v>0.16279069767441862</x:v>
      </x:c>
      <x:c r="G30" s="54"/>
      <x:c r="H30" s="56"/>
    </x:row>
    <x:row r="31">
      <x:c r="A31" s="52" t="str">
        <x:v>Free cash flow / net income</x:v>
      </x:c>
      <x:c r="B31" s="94" t="n">
        <x:f>B29/B24</x:f>
        <x:v>0.8399234224283927</x:v>
      </x:c>
      <x:c r="C31" s="94" t="n">
        <x:f>C29/C24</x:f>
        <x:v>0.7316026603733105</x:v>
      </x:c>
      <x:c r="D31" s="94" t="n">
        <x:f>D29/D24</x:f>
        <x:v>0.8749098774333093</x:v>
      </x:c>
      <x:c r="E31" s="94" t="n">
        <x:f>E29/E24</x:f>
        <x:v>0.670514165792235</x:v>
      </x:c>
      <x:c r="F31" s="94" t="n">
        <x:f>F29/F24</x:f>
        <x:v>1.5627157652474108</x:v>
      </x:c>
      <x:c r="G31" s="54"/>
      <x:c r="H31" s="56"/>
    </x:row>
    <x:row r="32">
      <x:c r="A32" s="52"/>
      <x:c r="B32" s="53"/>
      <x:c r="C32" s="53"/>
      <x:c r="D32" s="53"/>
      <x:c r="E32" s="53"/>
      <x:c r="F32" s="53"/>
      <x:c r="G32" s="54"/>
      <x:c r="H32" s="56"/>
    </x:row>
    <x:row r="33" ht="19" customHeight="1">
      <x:c r="A33" s="76" t="str">
        <x:v>BALANCE SHEET, LIQUIDITY AND LEVERAGE</x:v>
      </x:c>
      <x:c r="B33" s="77"/>
      <x:c r="C33" s="77"/>
      <x:c r="D33" s="77"/>
      <x:c r="E33" s="77"/>
      <x:c r="F33" s="77"/>
      <x:c r="G33" s="78"/>
      <x:c r="H33" s="79"/>
    </x:row>
    <x:row r="34">
      <x:c r="A34" s="88" t="str">
        <x:v>Fiscal year ended</x:v>
      </x:c>
      <x:c r="B34" s="92" t="n">
        <x:v>44469.5</x:v>
      </x:c>
      <x:c r="C34" s="92" t="n">
        <x:v>44834.5</x:v>
      </x:c>
      <x:c r="D34" s="92" t="n">
        <x:v>45199.5</x:v>
      </x:c>
      <x:c r="E34" s="92" t="n">
        <x:v>45565.5</x:v>
      </x:c>
      <x:c r="F34" s="92" t="n">
        <x:v>45930.5</x:v>
      </x:c>
      <x:c r="G34" s="90" t="str">
        <x:v>Source</x:v>
      </x:c>
      <x:c r="H34" s="91" t="str">
        <x:v>Notes</x:v>
      </x:c>
    </x:row>
    <x:row r="35">
      <x:c r="A35" s="52" t="str">
        <x:v>Cash and cash equivalents</x:v>
      </x:c>
      <x:c r="B35" s="93" t="n">
        <x:v>662.2</x:v>
      </x:c>
      <x:c r="C35" s="93" t="n">
        <x:v>490.7</x:v>
      </x:c>
      <x:c r="D35" s="93" t="n">
        <x:v>1072</x:v>
      </x:c>
      <x:c r="E35" s="93" t="n">
        <x:v>471</x:v>
      </x:c>
      <x:c r="F35" s="93" t="n">
        <x:v>468</x:v>
      </x:c>
      <x:c r="G35" s="54" t="str">
        <x:v>S-026 / S-017</x:v>
      </x:c>
      <x:c r="H35" s="56" t="str"/>
    </x:row>
    <x:row r="36">
      <x:c r="A36" s="52" t="str">
        <x:v>Short-term investments</x:v>
      </x:c>
      <x:c r="B36" s="93" t="n">
        <x:v>0.6</x:v>
      </x:c>
      <x:c r="C36" s="93" t="n">
        <x:v>12.6</x:v>
      </x:c>
      <x:c r="D36" s="93" t="n">
        <x:v>0.6</x:v>
      </x:c>
      <x:c r="E36" s="93" t="n">
        <x:v>0.3</x:v>
      </x:c>
      <x:c r="F36" s="93" t="n">
        <x:v>0</x:v>
      </x:c>
      <x:c r="G36" s="54" t="str">
        <x:v>S-026 / S-017</x:v>
      </x:c>
      <x:c r="H36" s="56" t="str"/>
    </x:row>
    <x:row r="37">
      <x:c r="A37" s="52" t="str">
        <x:v>Receivables</x:v>
      </x:c>
      <x:c r="B37" s="93" t="n">
        <x:v>1424.5</x:v>
      </x:c>
      <x:c r="C37" s="93" t="n">
        <x:v>1736.7</x:v>
      </x:c>
      <x:c r="D37" s="93" t="n">
        <x:v>2167.4</x:v>
      </x:c>
      <x:c r="E37" s="93" t="n">
        <x:v>1802</x:v>
      </x:c>
      <x:c r="F37" s="93" t="n">
        <x:v>1931</x:v>
      </x:c>
      <x:c r="G37" s="54" t="str">
        <x:v>S-026 / S-017</x:v>
      </x:c>
      <x:c r="H37" s="56" t="str"/>
    </x:row>
    <x:row r="38">
      <x:c r="A38" s="52" t="str">
        <x:v>Inventory</x:v>
      </x:c>
      <x:c r="B38" s="93" t="n">
        <x:v>798.1</x:v>
      </x:c>
      <x:c r="C38" s="93" t="n">
        <x:v>1054.2</x:v>
      </x:c>
      <x:c r="D38" s="93" t="n">
        <x:v>1404.9</x:v>
      </x:c>
      <x:c r="E38" s="93" t="n">
        <x:v>1293</x:v>
      </x:c>
      <x:c r="F38" s="93" t="n">
        <x:v>1247</x:v>
      </x:c>
      <x:c r="G38" s="54" t="str">
        <x:v>S-026 / S-017</x:v>
      </x:c>
      <x:c r="H38" s="56" t="str"/>
    </x:row>
    <x:row r="39">
      <x:c r="A39" s="99" t="str">
        <x:v>Current assets</x:v>
      </x:c>
      <x:c r="B39" s="100" t="n">
        <x:v>3063.4</x:v>
      </x:c>
      <x:c r="C39" s="100" t="n">
        <x:v>3610.7</x:v>
      </x:c>
      <x:c r="D39" s="100" t="n">
        <x:v>4910.8</x:v>
      </x:c>
      <x:c r="E39" s="100" t="n">
        <x:v>3881</x:v>
      </x:c>
      <x:c r="F39" s="100" t="n">
        <x:v>3911</x:v>
      </x:c>
      <x:c r="G39" s="54" t="str">
        <x:v>S-026 / S-017</x:v>
      </x:c>
      <x:c r="H39" s="56" t="str"/>
    </x:row>
    <x:row r="40">
      <x:c r="A40" s="52" t="str">
        <x:v>Accounts payable</x:v>
      </x:c>
      <x:c r="B40" s="93" t="n">
        <x:v>889.8</x:v>
      </x:c>
      <x:c r="C40" s="93" t="n">
        <x:v>1028</x:v>
      </x:c>
      <x:c r="D40" s="93" t="n">
        <x:v>1150.2</x:v>
      </x:c>
      <x:c r="E40" s="93" t="n">
        <x:v>860</x:v>
      </x:c>
      <x:c r="F40" s="93" t="n">
        <x:v>930</x:v>
      </x:c>
      <x:c r="G40" s="54" t="str">
        <x:v>S-026 / S-017</x:v>
      </x:c>
      <x:c r="H40" s="56" t="str"/>
    </x:row>
    <x:row r="41">
      <x:c r="A41" s="52" t="str">
        <x:v>Current liabilities</x:v>
      </x:c>
      <x:c r="B41" s="93" t="n">
        <x:v>2992.2</x:v>
      </x:c>
      <x:c r="C41" s="93" t="n">
        <x:v>3572.2</x:v>
      </x:c>
      <x:c r="D41" s="93" t="n">
        <x:v>3365.3</x:v>
      </x:c>
      <x:c r="E41" s="93" t="n">
        <x:v>3604</x:v>
      </x:c>
      <x:c r="F41" s="93" t="n">
        <x:v>3445</x:v>
      </x:c>
      <x:c r="G41" s="54" t="str">
        <x:v>S-026 / S-017</x:v>
      </x:c>
      <x:c r="H41" s="56" t="str"/>
    </x:row>
    <x:row r="42">
      <x:c r="A42" s="99" t="str">
        <x:v>Total assets</x:v>
      </x:c>
      <x:c r="B42" s="100" t="n">
        <x:v>10701.6</x:v>
      </x:c>
      <x:c r="C42" s="100" t="n">
        <x:v>10758.7</x:v>
      </x:c>
      <x:c r="D42" s="100" t="n">
        <x:v>11304</x:v>
      </x:c>
      <x:c r="E42" s="100" t="n">
        <x:v>11232</x:v>
      </x:c>
      <x:c r="F42" s="100" t="n">
        <x:v>11219</x:v>
      </x:c>
      <x:c r="G42" s="54" t="str">
        <x:v>S-026 / S-017</x:v>
      </x:c>
      <x:c r="H42" s="56" t="str"/>
    </x:row>
    <x:row r="43">
      <x:c r="A43" s="52" t="str">
        <x:v>Total equity including noncontrolling interests</x:v>
      </x:c>
      <x:c r="B43" s="93" t="n">
        <x:v>2694.1</x:v>
      </x:c>
      <x:c r="C43" s="93" t="n">
        <x:v>3016</x:v>
      </x:c>
      <x:c r="D43" s="93" t="n">
        <x:v>3743</x:v>
      </x:c>
      <x:c r="E43" s="93" t="n">
        <x:v>3675</x:v>
      </x:c>
      <x:c r="F43" s="93" t="n">
        <x:v>3711</x:v>
      </x:c>
      <x:c r="G43" s="54" t="str">
        <x:v>S-026 / S-017</x:v>
      </x:c>
      <x:c r="H43" s="56" t="str"/>
    </x:row>
    <x:row r="44">
      <x:c r="A44" s="99" t="str">
        <x:v>Total liabilities</x:v>
      </x:c>
      <x:c r="B44" s="100" t="n">
        <x:f>B42-B43</x:f>
        <x:v>8007.5</x:v>
      </x:c>
      <x:c r="C44" s="100" t="n">
        <x:f>C42-C43</x:f>
        <x:v>7742.700000000001</x:v>
      </x:c>
      <x:c r="D44" s="100" t="n">
        <x:f>D42-D43</x:f>
        <x:v>7561</x:v>
      </x:c>
      <x:c r="E44" s="100" t="n">
        <x:f>E42-E43</x:f>
        <x:v>7557</x:v>
      </x:c>
      <x:c r="F44" s="100" t="n">
        <x:f>F42-F43</x:f>
        <x:v>7508</x:v>
      </x:c>
      <x:c r="G44" s="54"/>
      <x:c r="H44" s="56"/>
    </x:row>
    <x:row r="45">
      <x:c r="A45" s="52" t="str">
        <x:v>Total debt and finance leases</x:v>
      </x:c>
      <x:c r="B45" s="93" t="n">
        <x:v>3471.4</x:v>
      </x:c>
      <x:c r="C45" s="93" t="n">
        <x:v>3476.9</x:v>
      </x:c>
      <x:c r="D45" s="93" t="n">
        <x:v>2871.5</x:v>
      </x:c>
      <x:c r="E45" s="93" t="n">
        <x:v>2868</x:v>
      </x:c>
      <x:c r="F45" s="93" t="n">
        <x:v>2616</x:v>
      </x:c>
      <x:c r="G45" s="54" t="str">
        <x:v>S-026 / S-017</x:v>
      </x:c>
      <x:c r="H45" s="56" t="str"/>
    </x:row>
    <x:row r="46">
      <x:c r="A46" s="99" t="str">
        <x:v>Net debt</x:v>
      </x:c>
      <x:c r="B46" s="100" t="n">
        <x:f>B45-B35-B36</x:f>
        <x:v>2808.6</x:v>
      </x:c>
      <x:c r="C46" s="100" t="n">
        <x:f>C45-C35-C36</x:f>
        <x:v>2973.6000000000004</x:v>
      </x:c>
      <x:c r="D46" s="100" t="n">
        <x:f>D45-D35-D36</x:f>
        <x:v>1798.9</x:v>
      </x:c>
      <x:c r="E46" s="100" t="n">
        <x:f>E45-E35-E36</x:f>
        <x:v>2396.7</x:v>
      </x:c>
      <x:c r="F46" s="100" t="n">
        <x:f>F45-F35-F36</x:f>
        <x:v>2148</x:v>
      </x:c>
      <x:c r="G46" s="54"/>
      <x:c r="H46" s="56"/>
    </x:row>
    <x:row r="47">
      <x:c r="A47" s="99" t="str">
        <x:v>Balance sheet check</x:v>
      </x:c>
      <x:c r="B47" s="100" t="n">
        <x:f>B42-B43-B44</x:f>
        <x:v>0</x:v>
      </x:c>
      <x:c r="C47" s="100" t="n">
        <x:f>C42-C43-C44</x:f>
        <x:v>0</x:v>
      </x:c>
      <x:c r="D47" s="100" t="n">
        <x:f>D42-D43-D44</x:f>
        <x:v>0</x:v>
      </x:c>
      <x:c r="E47" s="100" t="n">
        <x:f>E42-E43-E44</x:f>
        <x:v>0</x:v>
      </x:c>
      <x:c r="F47" s="100" t="n">
        <x:f>F42-F43-F44</x:f>
        <x:v>0</x:v>
      </x:c>
      <x:c r="G47" s="54"/>
      <x:c r="H47" s="56"/>
    </x:row>
    <x:row r="48">
      <x:c r="A48" s="52" t="str">
        <x:v>Net working capital</x:v>
      </x:c>
      <x:c r="B48" s="93" t="n">
        <x:f>B39-B41</x:f>
        <x:v>71.20000000000027</x:v>
      </x:c>
      <x:c r="C48" s="93" t="n">
        <x:f>C39-C41</x:f>
        <x:v>38.5</x:v>
      </x:c>
      <x:c r="D48" s="93" t="n">
        <x:f>D39-D41</x:f>
        <x:v>1545.5</x:v>
      </x:c>
      <x:c r="E48" s="93" t="n">
        <x:f>E39-E41</x:f>
        <x:v>277</x:v>
      </x:c>
      <x:c r="F48" s="93" t="n">
        <x:f>F39-F41</x:f>
        <x:v>466</x:v>
      </x:c>
      <x:c r="G48" s="54"/>
      <x:c r="H48" s="56"/>
    </x:row>
    <x:row r="49">
      <x:c r="A49" s="52" t="str">
        <x:v>Indicative net leverage</x:v>
      </x:c>
      <x:c r="B49" s="110" t="n">
        <x:f>B46/(B9+B25)</x:f>
        <x:v>1.776358231610904</x:v>
      </x:c>
      <x:c r="C49" s="110" t="n">
        <x:f>C46/(C9+C25)</x:f>
        <x:v>1.6691552062868371</x:v>
      </x:c>
      <x:c r="D49" s="110" t="n">
        <x:f>D46/(D9+D25)</x:f>
        <x:v>0.8255621844882974</x:v>
      </x:c>
      <x:c r="E49" s="110" t="n">
        <x:f>E46/(E9+E25)</x:f>
        <x:v>1.2535041841004184</x:v>
      </x:c>
      <x:c r="F49" s="110" t="n">
        <x:f>F46/(F9+F25)</x:f>
        <x:v>1.0591715976331362</x:v>
      </x:c>
      <x:c r="G49" s="54"/>
      <x:c r="H49" s="56"/>
    </x:row>
    <x:row r="50">
      <x:c r="A50" s="52"/>
      <x:c r="B50" s="53"/>
      <x:c r="C50" s="53"/>
      <x:c r="D50" s="53"/>
      <x:c r="E50" s="53"/>
      <x:c r="F50" s="53"/>
      <x:c r="G50" s="54"/>
      <x:c r="H50" s="56"/>
    </x:row>
    <x:row r="51" ht="19" customHeight="1">
      <x:c r="A51" s="76" t="str">
        <x:v>KEY PERFORMANCE INDICATORS</x:v>
      </x:c>
      <x:c r="B51" s="77"/>
      <x:c r="C51" s="77"/>
      <x:c r="D51" s="77"/>
      <x:c r="E51" s="77"/>
      <x:c r="F51" s="77"/>
      <x:c r="G51" s="78"/>
      <x:c r="H51" s="79"/>
    </x:row>
    <x:row r="52">
      <x:c r="A52" s="88" t="str">
        <x:v>Fiscal year ended</x:v>
      </x:c>
      <x:c r="B52" s="92" t="n">
        <x:v>44469.5</x:v>
      </x:c>
      <x:c r="C52" s="92" t="n">
        <x:v>44834.5</x:v>
      </x:c>
      <x:c r="D52" s="92" t="n">
        <x:v>45199.5</x:v>
      </x:c>
      <x:c r="E52" s="92" t="n">
        <x:v>45565.5</x:v>
      </x:c>
      <x:c r="F52" s="92" t="n">
        <x:v>45930.5</x:v>
      </x:c>
      <x:c r="G52" s="90" t="str">
        <x:v>Source</x:v>
      </x:c>
      <x:c r="H52" s="91" t="str">
        <x:v>Notes</x:v>
      </x:c>
    </x:row>
    <x:row r="53">
      <x:c r="A53" s="52" t="str">
        <x:v>Days sales outstanding</x:v>
      </x:c>
      <x:c r="B53" s="103" t="n">
        <x:f>B37/B7*365</x:f>
        <x:v>74.3050990367851</x:v>
      </x:c>
      <x:c r="C53" s="103" t="n">
        <x:f>C37/C7*365</x:f>
        <x:v>81.68335395082728</x:v>
      </x:c>
      <x:c r="D53" s="103" t="n">
        <x:f>D37/D7*365</x:f>
        <x:v>87.33727092073306</x:v>
      </x:c>
      <x:c r="E53" s="103" t="n">
        <x:f>E37/E7*365</x:f>
        <x:v>79.58978702807357</x:v>
      </x:c>
      <x:c r="F53" s="103" t="n">
        <x:f>F37/F7*365</x:f>
        <x:v>84.4899304723088</x:v>
      </x:c>
      <x:c r="G53" s="54"/>
      <x:c r="H53" s="56"/>
    </x:row>
    <x:row r="54">
      <x:c r="A54" s="52" t="str">
        <x:v>Revenue CAGR since FY2021</x:v>
      </x:c>
      <x:c r="B54" s="94"/>
      <x:c r="C54" s="94" t="n">
        <x:f>(C7/$B$7)^(1/1)-1</x:f>
        <x:v>0.10904050075742422</x:v>
      </x:c>
      <x:c r="D54" s="94" t="n">
        <x:f>(D7/$B$7)^(1/2)-1</x:f>
        <x:v>0.1377525245662803</x:v>
      </x:c>
      <x:c r="E54" s="94" t="n">
        <x:f>(E7/$B$7)^(1/3)-1</x:f>
        <x:v>0.05702324004441017</x:v>
      </x:c>
      <x:c r="F54" s="94" t="n">
        <x:f>(F7/$B$7)^(1/4)-1</x:f>
        <x:v>0.04492079268656135</x:v>
      </x:c>
      <x:c r="G54" s="54"/>
      <x:c r="H54" s="56"/>
    </x:row>
    <x:row r="55">
      <x:c r="A55" s="52" t="str">
        <x:v>Total segment operating margin</x:v>
      </x:c>
      <x:c r="B55" s="94" t="n">
        <x:f>B10</x:f>
        <x:v>0.19883099436933718</x:v>
      </x:c>
      <x:c r="C55" s="94" t="n">
        <x:f>C10</x:f>
        <x:v>0.19877841348384104</x:v>
      </x:c>
      <x:c r="D55" s="94" t="n">
        <x:f>D10</x:f>
        <x:v>0.21296091852506072</x:v>
      </x:c>
      <x:c r="E55" s="94" t="n">
        <x:f>E10</x:f>
        <x:v>0.1930058083252662</x:v>
      </x:c>
      <x:c r="F55" s="94" t="n">
        <x:f>F10</x:f>
        <x:v>0.20414768640613762</x:v>
      </x:c>
      <x:c r="G55" s="54"/>
      <x:c r="H55" s="56"/>
    </x:row>
    <x:row r="56">
      <x:c r="A56" s="52" t="str">
        <x:v>Free cash flow margin</x:v>
      </x:c>
      <x:c r="B56" s="94" t="n">
        <x:f>B30</x:f>
        <x:v>0.16301769228570615</x:v>
      </x:c>
      <x:c r="C56" s="94" t="n">
        <x:f>C30</x:f>
        <x:v>0.08788206793464255</x:v>
      </x:c>
      <x:c r="D56" s="94" t="n">
        <x:f>D30</x:f>
        <x:v>0.13396997129609184</x:v>
      </x:c>
      <x:c r="E56" s="94" t="n">
        <x:f>E30</x:f>
        <x:v>0.07732333010648597</x:v>
      </x:c>
      <x:c r="F56" s="94" t="n">
        <x:f>F30</x:f>
        <x:v>0.16279069767441862</x:v>
      </x:c>
      <x:c r="G56" s="54"/>
      <x:c r="H56" s="56"/>
    </x:row>
    <x:row r="57">
      <x:c r="A57" s="52" t="str">
        <x:v>Net debt</x:v>
      </x:c>
      <x:c r="B57" s="93" t="n">
        <x:f>B46</x:f>
        <x:v>2808.6</x:v>
      </x:c>
      <x:c r="C57" s="93" t="n">
        <x:f>C46</x:f>
        <x:v>2973.6000000000004</x:v>
      </x:c>
      <x:c r="D57" s="93" t="n">
        <x:f>D46</x:f>
        <x:v>1798.9</x:v>
      </x:c>
      <x:c r="E57" s="93" t="n">
        <x:f>E46</x:f>
        <x:v>2396.7</x:v>
      </x:c>
      <x:c r="F57" s="93" t="n">
        <x:f>F46</x:f>
        <x:v>2148</x:v>
      </x:c>
      <x:c r="G57" s="54"/>
      <x:c r="H57" s="56"/>
    </x:row>
    <x:row r="58">
      <x:c r="A58" s="52"/>
      <x:c r="B58" s="53"/>
      <x:c r="C58" s="53"/>
      <x:c r="D58" s="53"/>
      <x:c r="E58" s="53"/>
      <x:c r="F58" s="53"/>
      <x:c r="G58" s="54"/>
      <x:c r="H58" s="56"/>
    </x:row>
    <x:row r="59" ht="19" customHeight="1">
      <x:c r="A59" s="76" t="str">
        <x:v>ANALYST TAKEAWAYS</x:v>
      </x:c>
      <x:c r="B59" s="77"/>
      <x:c r="C59" s="77"/>
      <x:c r="D59" s="77"/>
      <x:c r="E59" s="77"/>
      <x:c r="F59" s="77"/>
      <x:c r="G59" s="78"/>
      <x:c r="H59" s="79"/>
    </x:row>
    <x:row r="60" ht="28" customHeight="1">
      <x:c r="A60" s="107" t="str">
        <x:v>• Rockwell's revenue grew over the five-year period but remained cyclical, peaking in FY2023, declining in FY2024, and returning to modest growth in FY2025.</x:v>
      </x:c>
      <x:c r="B60" s="108"/>
      <x:c r="C60" s="108"/>
      <x:c r="D60" s="108"/>
      <x:c r="E60" s="108"/>
      <x:c r="F60" s="108"/>
      <x:c r="G60" s="109"/>
      <x:c r="H60" s="107"/>
    </x:row>
    <x:row r="61" ht="28" customHeight="1">
      <x:c r="A61" s="107" t="str">
        <x:v>• Total segment operating margin remained near 20% across the cycle, supporting the buyer's earnings base and financing capacity.</x:v>
      </x:c>
      <x:c r="B61" s="108"/>
      <x:c r="C61" s="108"/>
      <x:c r="D61" s="108"/>
      <x:c r="E61" s="108"/>
      <x:c r="F61" s="108"/>
      <x:c r="G61" s="109"/>
      <x:c r="H61" s="107"/>
    </x:row>
    <x:row r="62" ht="28" customHeight="1">
      <x:c r="A62" s="107" t="str">
        <x:v>• Free cash flow was volatile but recovered strongly in FY2025, which is important for debt capacity and post-close deleveraging.</x:v>
      </x:c>
      <x:c r="B62" s="108"/>
      <x:c r="C62" s="108"/>
      <x:c r="D62" s="108"/>
      <x:c r="E62" s="108"/>
      <x:c r="F62" s="108"/>
      <x:c r="G62" s="109"/>
      <x:c r="H62" s="107"/>
    </x:row>
    <x:row r="63" ht="28" customHeight="1">
      <x:c r="A63" s="107" t="str">
        <x:v>• Reported EPS is affected by non-operating items, including fair-value changes in Rockwell's PTC investment; later accretion/dilution work will distinguish reported and normalized earnings.</x:v>
      </x:c>
      <x:c r="B63" s="108"/>
      <x:c r="C63" s="108"/>
      <x:c r="D63" s="108"/>
      <x:c r="E63" s="108"/>
      <x:c r="F63" s="108"/>
      <x:c r="G63" s="109"/>
      <x:c r="H63" s="107"/>
    </x:row>
  </x:sheetData>
  <x:mergeCells>
    <x:mergeCell ref="A1:H1"/>
    <x:mergeCell ref="A2:H2"/>
    <x:mergeCell ref="B3:F3"/>
    <x:mergeCell ref="A5:H5"/>
    <x:mergeCell ref="A22:H22"/>
    <x:mergeCell ref="A33:H33"/>
    <x:mergeCell ref="A51:H51"/>
    <x:mergeCell ref="A59:H59"/>
    <x:mergeCell ref="A60:H60"/>
    <x:mergeCell ref="A61:H61"/>
    <x:mergeCell ref="A62:H62"/>
    <x:mergeCell ref="A63:H63"/>
  </x:mergeCells>
  <x:pageMargins left="0.7" right="0.7" top="0.75" bottom="0.75" header="0.3" footer="0.3"/>
  <x:legacyDrawing xmlns:r="http://schemas.openxmlformats.org/officeDocument/2006/relationships" r:id="Rc8e3d903b15844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13" hidden="0" customWidth="1"/>
    <x:col min="3" max="3" width="13" hidden="0" customWidth="1"/>
    <x:col min="4" max="4" width="13" hidden="0" customWidth="1"/>
    <x:col min="5" max="5" width="13" hidden="0" customWidth="1"/>
    <x:col min="6" max="6" width="13" hidden="0" customWidth="1"/>
    <x:col min="7" max="7" width="16" hidden="0" customWidth="1"/>
    <x:col min="8" max="8" width="48" hidden="0" customWidth="1"/>
  </x:cols>
  <x:sheetData>
    <x:row r="1" ht="26" customHeight="1">
      <x:c r="A1" s="61" t="str">
        <x:v>CGNX Historical</x:v>
      </x:c>
      <x:c r="B1" s="62"/>
      <x:c r="C1" s="62"/>
      <x:c r="D1" s="62"/>
      <x:c r="E1" s="62"/>
      <x:c r="F1" s="62"/>
      <x:c r="G1" s="63"/>
      <x:c r="H1" s="64"/>
    </x:row>
    <x:row r="2" ht="22" customHeight="1">
      <x:c r="A2" s="69" t="str">
        <x:v>Cognex historical financial statements and operating KPIs | USD millions, except per-share data</x:v>
      </x:c>
      <x:c r="B2" s="70"/>
      <x:c r="C2" s="70"/>
      <x:c r="D2" s="70"/>
      <x:c r="E2" s="70"/>
      <x:c r="F2" s="70"/>
      <x:c r="G2" s="71"/>
      <x:c r="H2" s="72"/>
    </x:row>
    <x:row r="3">
      <x:c r="A3" s="73" t="str">
        <x:v>Status</x:v>
      </x:c>
      <x:c r="B3" s="75" t="str">
        <x:v>Complete — FY2021 to FY2025 audited history loaded</x:v>
      </x:c>
      <x:c r="C3" s="75"/>
      <x:c r="D3" s="75"/>
      <x:c r="E3" s="75"/>
      <x:c r="F3" s="75"/>
      <x:c r="G3" s="54"/>
      <x:c r="H3" s="56"/>
    </x:row>
    <x:row r="4">
      <x:c r="A4" s="52"/>
      <x:c r="B4" s="53"/>
      <x:c r="C4" s="53"/>
      <x:c r="D4" s="53"/>
      <x:c r="E4" s="53"/>
      <x:c r="F4" s="53"/>
      <x:c r="G4" s="54"/>
      <x:c r="H4" s="56"/>
    </x:row>
    <x:row r="5" ht="19" customHeight="1">
      <x:c r="A5" s="76" t="str">
        <x:v>INCOME STATEMENT AND PROFITABILITY</x:v>
      </x:c>
      <x:c r="B5" s="77"/>
      <x:c r="C5" s="77"/>
      <x:c r="D5" s="77"/>
      <x:c r="E5" s="77"/>
      <x:c r="F5" s="77"/>
      <x:c r="G5" s="78"/>
      <x:c r="H5" s="79"/>
    </x:row>
    <x:row r="6">
      <x:c r="A6" s="88" t="str">
        <x:v>Fiscal year ended</x:v>
      </x:c>
      <x:c r="B6" s="92" t="n">
        <x:v>44561.5</x:v>
      </x:c>
      <x:c r="C6" s="92" t="n">
        <x:v>44926.5</x:v>
      </x:c>
      <x:c r="D6" s="92" t="n">
        <x:v>45291.5</x:v>
      </x:c>
      <x:c r="E6" s="92" t="n">
        <x:v>45657.5</x:v>
      </x:c>
      <x:c r="F6" s="92" t="n">
        <x:v>46022.5</x:v>
      </x:c>
      <x:c r="G6" s="90" t="str">
        <x:v>Source</x:v>
      </x:c>
      <x:c r="H6" s="91" t="str">
        <x:v>Notes</x:v>
      </x:c>
    </x:row>
    <x:row r="7">
      <x:c r="A7" s="52" t="str">
        <x:v>Revenue</x:v>
      </x:c>
      <x:c r="B7" s="93" t="n">
        <x:v>1037.098</x:v>
      </x:c>
      <x:c r="C7" s="93" t="n">
        <x:v>1006.09</x:v>
      </x:c>
      <x:c r="D7" s="93" t="n">
        <x:v>837.547</x:v>
      </x:c>
      <x:c r="E7" s="93" t="n">
        <x:v>914.515</x:v>
      </x:c>
      <x:c r="F7" s="93" t="n">
        <x:v>994.359</x:v>
      </x:c>
      <x:c r="G7" s="54" t="str">
        <x:v>S-025 / S-019</x:v>
      </x:c>
      <x:c r="H7" s="56" t="str">
        <x:v>Revenue from contracts with customers</x:v>
      </x:c>
    </x:row>
    <x:row r="8">
      <x:c r="A8" s="52" t="str">
        <x:v>% growth</x:v>
      </x:c>
      <x:c r="B8" s="94"/>
      <x:c r="C8" s="94" t="n">
        <x:f>C7/B7-1</x:f>
        <x:v>-0.029898813805445457</x:v>
      </x:c>
      <x:c r="D8" s="94" t="n">
        <x:f>D7/C7-1</x:f>
        <x:v>-0.16752278623184802</x:v>
      </x:c>
      <x:c r="E8" s="94" t="n">
        <x:f>E7/D7-1</x:f>
        <x:v>0.09189693235125906</x:v>
      </x:c>
      <x:c r="F8" s="94" t="n">
        <x:f>F7/E7-1</x:f>
        <x:v>0.08730747992105115</x:v>
      </x:c>
      <x:c r="G8" s="54"/>
      <x:c r="H8" s="56"/>
    </x:row>
    <x:row r="9">
      <x:c r="A9" s="52" t="str">
        <x:v>Cost of goods sold</x:v>
      </x:c>
      <x:c r="B9" s="93" t="n">
        <x:v>277.271</x:v>
      </x:c>
      <x:c r="C9" s="93" t="n">
        <x:v>284.185</x:v>
      </x:c>
      <x:c r="D9" s="93" t="n">
        <x:v>236.306</x:v>
      </x:c>
      <x:c r="E9" s="93" t="n">
        <x:v>288.721</x:v>
      </x:c>
      <x:c r="F9" s="93" t="n">
        <x:v>328.966</x:v>
      </x:c>
      <x:c r="G9" s="54" t="str">
        <x:v>S-025 / S-019</x:v>
      </x:c>
      <x:c r="H9" s="56" t="str"/>
    </x:row>
    <x:row r="10">
      <x:c r="A10" s="99" t="str">
        <x:v>Gross profit — calculated</x:v>
      </x:c>
      <x:c r="B10" s="100" t="n">
        <x:f>B7-B9</x:f>
        <x:v>759.827</x:v>
      </x:c>
      <x:c r="C10" s="100" t="n">
        <x:f>C7-C9</x:f>
        <x:v>721.905</x:v>
      </x:c>
      <x:c r="D10" s="100" t="n">
        <x:f>D7-D9</x:f>
        <x:v>601.241</x:v>
      </x:c>
      <x:c r="E10" s="100" t="n">
        <x:f>E7-E9</x:f>
        <x:v>625.794</x:v>
      </x:c>
      <x:c r="F10" s="100" t="n">
        <x:f>F7-F9</x:f>
        <x:v>665.393</x:v>
      </x:c>
      <x:c r="G10" s="54"/>
      <x:c r="H10" s="56"/>
    </x:row>
    <x:row r="11">
      <x:c r="A11" s="52" t="str">
        <x:v>Gross profit — reported</x:v>
      </x:c>
      <x:c r="B11" s="93" t="n">
        <x:v>759.827</x:v>
      </x:c>
      <x:c r="C11" s="93" t="n">
        <x:v>721.905</x:v>
      </x:c>
      <x:c r="D11" s="93" t="n">
        <x:v>601.241</x:v>
      </x:c>
      <x:c r="E11" s="93" t="n">
        <x:v>625.794</x:v>
      </x:c>
      <x:c r="F11" s="93" t="n">
        <x:v>665.393</x:v>
      </x:c>
      <x:c r="G11" s="54" t="str">
        <x:v>S-025 / S-019</x:v>
      </x:c>
      <x:c r="H11" s="56" t="str"/>
    </x:row>
    <x:row r="12">
      <x:c r="A12" s="52" t="str">
        <x:v>Gross profit tie-out</x:v>
      </x:c>
      <x:c r="B12" s="93" t="n">
        <x:f>B10-B11</x:f>
        <x:v>0</x:v>
      </x:c>
      <x:c r="C12" s="93" t="n">
        <x:f>C10-C11</x:f>
        <x:v>0</x:v>
      </x:c>
      <x:c r="D12" s="93" t="n">
        <x:f>D10-D11</x:f>
        <x:v>0</x:v>
      </x:c>
      <x:c r="E12" s="93" t="n">
        <x:f>E10-E11</x:f>
        <x:v>0</x:v>
      </x:c>
      <x:c r="F12" s="93" t="n">
        <x:f>F10-F11</x:f>
        <x:v>0</x:v>
      </x:c>
      <x:c r="G12" s="54"/>
      <x:c r="H12" s="56"/>
    </x:row>
    <x:row r="13">
      <x:c r="A13" s="52" t="str">
        <x:v>Gross margin</x:v>
      </x:c>
      <x:c r="B13" s="94" t="n">
        <x:f>B10/B7</x:f>
        <x:v>0.7326472522365293</x:v>
      </x:c>
      <x:c r="C13" s="94" t="n">
        <x:f>C10/C7</x:f>
        <x:v>0.717535210567643</x:v>
      </x:c>
      <x:c r="D13" s="94" t="n">
        <x:f>D10/D7</x:f>
        <x:v>0.7178594156507038</x:v>
      </x:c>
      <x:c r="E13" s="94" t="n">
        <x:f>E10/E7</x:f>
        <x:v>0.6842905802529209</x:v>
      </x:c>
      <x:c r="F13" s="94" t="n">
        <x:f>F10/F7</x:f>
        <x:v>0.6691677754211507</x:v>
      </x:c>
      <x:c r="G13" s="54"/>
      <x:c r="H13" s="56"/>
    </x:row>
    <x:row r="14">
      <x:c r="A14" s="52"/>
      <x:c r="B14" s="53"/>
      <x:c r="C14" s="53"/>
      <x:c r="D14" s="53"/>
      <x:c r="E14" s="53"/>
      <x:c r="F14" s="53"/>
      <x:c r="G14" s="54"/>
      <x:c r="H14" s="56"/>
    </x:row>
    <x:row r="15">
      <x:c r="A15" s="52" t="str">
        <x:v>Research, development &amp; engineering</x:v>
      </x:c>
      <x:c r="B15" s="93" t="n">
        <x:v>135.372</x:v>
      </x:c>
      <x:c r="C15" s="93" t="n">
        <x:v>141.133</x:v>
      </x:c>
      <x:c r="D15" s="93" t="n">
        <x:v>139.4</x:v>
      </x:c>
      <x:c r="E15" s="93" t="n">
        <x:v>139.815</x:v>
      </x:c>
      <x:c r="F15" s="93" t="n">
        <x:v>138.97</x:v>
      </x:c>
      <x:c r="G15" s="54" t="str">
        <x:v>S-025 / S-019</x:v>
      </x:c>
      <x:c r="H15" s="56" t="str"/>
    </x:row>
    <x:row r="16">
      <x:c r="A16" s="52" t="str">
        <x:v>% of revenue</x:v>
      </x:c>
      <x:c r="B16" s="94" t="n">
        <x:f>B15/B7</x:f>
        <x:v>0.13052961243778313</x:v>
      </x:c>
      <x:c r="C16" s="94" t="n">
        <x:f>C15/C7</x:f>
        <x:v>0.14027870270055362</x:v>
      </x:c>
      <x:c r="D16" s="94" t="n">
        <x:f>D15/D7</x:f>
        <x:v>0.1664384207692225</x:v>
      </x:c>
      <x:c r="E16" s="94" t="n">
        <x:f>E15/E7</x:f>
        <x:v>0.15288431573019579</x:v>
      </x:c>
      <x:c r="F16" s="94" t="n">
        <x:f>F15/F7</x:f>
        <x:v>0.1397583770046834</x:v>
      </x:c>
      <x:c r="G16" s="54"/>
      <x:c r="H16" s="56"/>
    </x:row>
    <x:row r="17">
      <x:c r="A17" s="52" t="str">
        <x:v>Selling, general &amp; administrative</x:v>
      </x:c>
      <x:c r="B17" s="93" t="n">
        <x:v>309.354</x:v>
      </x:c>
      <x:c r="C17" s="93" t="n">
        <x:v>312.107</x:v>
      </x:c>
      <x:c r="D17" s="93" t="n">
        <x:v>339.139</x:v>
      </x:c>
      <x:c r="E17" s="93" t="n">
        <x:v>370.914</x:v>
      </x:c>
      <x:c r="F17" s="93" t="n">
        <x:v>363.857</x:v>
      </x:c>
      <x:c r="G17" s="54" t="str">
        <x:v>S-025 / S-019</x:v>
      </x:c>
      <x:c r="H17" s="56" t="str"/>
    </x:row>
    <x:row r="18">
      <x:c r="A18" s="52" t="str">
        <x:v>% of revenue</x:v>
      </x:c>
      <x:c r="B18" s="94" t="n">
        <x:f>B17/B7</x:f>
        <x:v>0.29828810777766424</x:v>
      </x:c>
      <x:c r="C18" s="94" t="n">
        <x:f>C17/C7</x:f>
        <x:v>0.31021777375781495</x:v>
      </x:c>
      <x:c r="D18" s="94" t="n">
        <x:f>D17/D7</x:f>
        <x:v>0.4049193657191775</x:v>
      </x:c>
      <x:c r="E18" s="94" t="n">
        <x:f>E17/E7</x:f>
        <x:v>0.4055854742677813</x:v>
      </x:c>
      <x:c r="F18" s="94" t="n">
        <x:f>F17/F7</x:f>
        <x:v>0.3659211612707282</x:v>
      </x:c>
      <x:c r="G18" s="54"/>
      <x:c r="H18" s="56"/>
    </x:row>
    <x:row r="19">
      <x:c r="A19" s="99" t="str">
        <x:v>Operating income</x:v>
      </x:c>
      <x:c r="B19" s="100" t="n">
        <x:v>315.101</x:v>
      </x:c>
      <x:c r="C19" s="100" t="n">
        <x:v>246.229</x:v>
      </x:c>
      <x:c r="D19" s="100" t="n">
        <x:v>130.702</x:v>
      </x:c>
      <x:c r="E19" s="100" t="n">
        <x:v>115.065</x:v>
      </x:c>
      <x:c r="F19" s="100" t="n">
        <x:v>162.566</x:v>
      </x:c>
      <x:c r="G19" s="54" t="str">
        <x:v>S-025 / S-019</x:v>
      </x:c>
      <x:c r="H19" s="56" t="str"/>
    </x:row>
    <x:row r="20">
      <x:c r="A20" s="52" t="str">
        <x:v>Operating margin</x:v>
      </x:c>
      <x:c r="B20" s="94" t="n">
        <x:f>B19/B7</x:f>
        <x:v>0.3038295320210819</x:v>
      </x:c>
      <x:c r="C20" s="94" t="n">
        <x:f>C19/C7</x:f>
        <x:v>0.24473854227752984</x:v>
      </x:c>
      <x:c r="D20" s="94" t="n">
        <x:f>D19/D7</x:f>
        <x:v>0.1560533319324169</x:v>
      </x:c>
      <x:c r="E20" s="94" t="n">
        <x:f>E19/E7</x:f>
        <x:v>0.1258207902549439</x:v>
      </x:c>
      <x:c r="F20" s="94" t="n">
        <x:f>F19/F7</x:f>
        <x:v>0.16348823714573912</x:v>
      </x:c>
      <x:c r="G20" s="54"/>
      <x:c r="H20" s="56"/>
    </x:row>
    <x:row r="21">
      <x:c r="A21" s="52" t="str">
        <x:v>Net interest and other income</x:v>
      </x:c>
      <x:c r="B21" s="93" t="n">
        <x:f>B22-B19</x:f>
        <x:v>3.798999999999978</x:v>
      </x:c>
      <x:c r="C21" s="93" t="n">
        <x:f>C22-C19</x:f>
        <x:v>4.46599999999998</x:v>
      </x:c>
      <x:c r="D21" s="93" t="n">
        <x:f>D22-D19</x:f>
        <x:v>4.646000000000015</x:v>
      </x:c>
      <x:c r="E21" s="93" t="n">
        <x:f>E22-E19</x:f>
        <x:v>16.424000000000007</x:v>
      </x:c>
      <x:c r="F21" s="93" t="n">
        <x:f>F22-F19</x:f>
        <x:v>20.23599999999999</x:v>
      </x:c>
      <x:c r="G21" s="54"/>
      <x:c r="H21" s="56"/>
    </x:row>
    <x:row r="22">
      <x:c r="A22" s="99" t="str">
        <x:v>Income before income taxes</x:v>
      </x:c>
      <x:c r="B22" s="100" t="n">
        <x:v>318.9</x:v>
      </x:c>
      <x:c r="C22" s="100" t="n">
        <x:v>250.695</x:v>
      </x:c>
      <x:c r="D22" s="100" t="n">
        <x:v>135.348</x:v>
      </x:c>
      <x:c r="E22" s="100" t="n">
        <x:v>131.489</x:v>
      </x:c>
      <x:c r="F22" s="100" t="n">
        <x:v>182.802</x:v>
      </x:c>
      <x:c r="G22" s="54" t="str">
        <x:v>S-025 / S-019</x:v>
      </x:c>
      <x:c r="H22" s="56" t="str"/>
    </x:row>
    <x:row r="23">
      <x:c r="A23" s="52" t="str">
        <x:v>Income tax expense</x:v>
      </x:c>
      <x:c r="B23" s="93" t="n">
        <x:v>39.019</x:v>
      </x:c>
      <x:c r="C23" s="93" t="n">
        <x:v>35.17</x:v>
      </x:c>
      <x:c r="D23" s="93" t="n">
        <x:v>22.114</x:v>
      </x:c>
      <x:c r="E23" s="93" t="n">
        <x:v>25.318</x:v>
      </x:c>
      <x:c r="F23" s="93" t="n">
        <x:v>68.36</x:v>
      </x:c>
      <x:c r="G23" s="54" t="str">
        <x:v>S-025 / S-019</x:v>
      </x:c>
      <x:c r="H23" s="56" t="str"/>
    </x:row>
    <x:row r="24">
      <x:c r="A24" s="52" t="str">
        <x:v>Effective tax rate</x:v>
      </x:c>
      <x:c r="B24" s="94" t="n">
        <x:f>B23/B22</x:f>
        <x:v>0.12235497021009721</x:v>
      </x:c>
      <x:c r="C24" s="94" t="n">
        <x:f>C23/C22</x:f>
        <x:v>0.14028999381718824</x:v>
      </x:c>
      <x:c r="D24" s="94" t="n">
        <x:f>D23/D22</x:f>
        <x:v>0.16338623400419658</x:v>
      </x:c>
      <x:c r="E24" s="94" t="n">
        <x:f>E23/E22</x:f>
        <x:v>0.19254842610408476</x:v>
      </x:c>
      <x:c r="F24" s="94" t="n">
        <x:f>F23/F22</x:f>
        <x:v>0.37395652126344353</x:v>
      </x:c>
      <x:c r="G24" s="54"/>
      <x:c r="H24" s="56"/>
    </x:row>
    <x:row r="25">
      <x:c r="A25" s="99" t="str">
        <x:v>Net income</x:v>
      </x:c>
      <x:c r="B25" s="100" t="n">
        <x:v>279.881</x:v>
      </x:c>
      <x:c r="C25" s="100" t="n">
        <x:v>215.525</x:v>
      </x:c>
      <x:c r="D25" s="100" t="n">
        <x:v>113.234</x:v>
      </x:c>
      <x:c r="E25" s="100" t="n">
        <x:v>106.171</x:v>
      </x:c>
      <x:c r="F25" s="100" t="n">
        <x:v>114.442</x:v>
      </x:c>
      <x:c r="G25" s="54" t="str">
        <x:v>S-025 / S-019</x:v>
      </x:c>
      <x:c r="H25" s="56" t="str"/>
    </x:row>
    <x:row r="26">
      <x:c r="A26" s="52" t="str">
        <x:v>Net income margin</x:v>
      </x:c>
      <x:c r="B26" s="94" t="n">
        <x:f>B25/B7</x:f>
        <x:v>0.26986938553540746</x:v>
      </x:c>
      <x:c r="C26" s="94" t="n">
        <x:f>C25/C7</x:f>
        <x:v>0.21422039777753482</x:v>
      </x:c>
      <x:c r="D26" s="94" t="n">
        <x:f>D25/D7</x:f>
        <x:v>0.13519718893387475</x:v>
      </x:c>
      <x:c r="E26" s="94" t="n">
        <x:f>E25/E7</x:f>
        <x:v>0.11609541669628165</x:v>
      </x:c>
      <x:c r="F26" s="94" t="n">
        <x:f>F25/F7</x:f>
        <x:v>0.11509122962632207</x:v>
      </x:c>
      <x:c r="G26" s="54"/>
      <x:c r="H26" s="56"/>
    </x:row>
    <x:row r="27">
      <x:c r="A27" s="52" t="str">
        <x:v>Diluted weighted average shares</x:v>
      </x:c>
      <x:c r="B27" s="95" t="n">
        <x:v>179.916</x:v>
      </x:c>
      <x:c r="C27" s="95" t="n">
        <x:v>174.869</x:v>
      </x:c>
      <x:c r="D27" s="95" t="n">
        <x:v>173.399</x:v>
      </x:c>
      <x:c r="E27" s="95" t="n">
        <x:v>172.611</x:v>
      </x:c>
      <x:c r="F27" s="95" t="n">
        <x:v>169.367</x:v>
      </x:c>
      <x:c r="G27" s="54" t="str">
        <x:v>S-025 / S-019</x:v>
      </x:c>
      <x:c r="H27" s="56" t="str"/>
    </x:row>
    <x:row r="28">
      <x:c r="A28" s="99" t="str">
        <x:v>Diluted EPS — calculated</x:v>
      </x:c>
      <x:c r="B28" s="102" t="n">
        <x:f>B25/B27</x:f>
        <x:v>1.5556204006314056</x:v>
      </x:c>
      <x:c r="C28" s="102" t="n">
        <x:f>C25/C27</x:f>
        <x:v>1.2324940383944554</x:v>
      </x:c>
      <x:c r="D28" s="102" t="n">
        <x:f>D25/D27</x:f>
        <x:v>0.6530256806555977</x:v>
      </x:c>
      <x:c r="E28" s="102" t="n">
        <x:f>E25/E27</x:f>
        <x:v>0.615088262045872</x:v>
      </x:c>
      <x:c r="F28" s="102" t="n">
        <x:f>F25/F27</x:f>
        <x:v>0.6757042399050582</x:v>
      </x:c>
      <x:c r="G28" s="54"/>
      <x:c r="H28" s="56"/>
    </x:row>
    <x:row r="29">
      <x:c r="A29" s="52" t="str">
        <x:v>Diluted EPS — reported</x:v>
      </x:c>
      <x:c r="B29" s="96" t="n">
        <x:v>1.56</x:v>
      </x:c>
      <x:c r="C29" s="96" t="n">
        <x:v>1.23</x:v>
      </x:c>
      <x:c r="D29" s="96" t="n">
        <x:v>0.65</x:v>
      </x:c>
      <x:c r="E29" s="96" t="n">
        <x:v>0.62</x:v>
      </x:c>
      <x:c r="F29" s="96" t="n">
        <x:v>0.68</x:v>
      </x:c>
      <x:c r="G29" s="54" t="str">
        <x:v>S-025 / S-019</x:v>
      </x:c>
      <x:c r="H29" s="56" t="str"/>
    </x:row>
    <x:row r="30">
      <x:c r="A30" s="52" t="str">
        <x:v>EPS tie-out</x:v>
      </x:c>
      <x:c r="B30" s="97" t="n">
        <x:f>B28-B29</x:f>
        <x:v>-0.0043795993685944445</x:v>
      </x:c>
      <x:c r="C30" s="97" t="n">
        <x:f>C28-C29</x:f>
        <x:v>0.002494038394455389</x:v>
      </x:c>
      <x:c r="D30" s="97" t="n">
        <x:f>D28-D29</x:f>
        <x:v>0.003025680655597718</x:v>
      </x:c>
      <x:c r="E30" s="97" t="n">
        <x:f>E28-E29</x:f>
        <x:v>-0.004911737954128026</x:v>
      </x:c>
      <x:c r="F30" s="97" t="n">
        <x:f>F28-F29</x:f>
        <x:v>-0.004295760094941814</x:v>
      </x:c>
      <x:c r="G30" s="54"/>
      <x:c r="H30" s="56"/>
    </x:row>
    <x:row r="31">
      <x:c r="A31" s="52"/>
      <x:c r="B31" s="53"/>
      <x:c r="C31" s="53"/>
      <x:c r="D31" s="53"/>
      <x:c r="E31" s="53"/>
      <x:c r="F31" s="53"/>
      <x:c r="G31" s="54"/>
      <x:c r="H31" s="56"/>
    </x:row>
    <x:row r="32" ht="19" customHeight="1">
      <x:c r="A32" s="76" t="str">
        <x:v>CASH FLOW AND CASH CONVERSION</x:v>
      </x:c>
      <x:c r="B32" s="77"/>
      <x:c r="C32" s="77"/>
      <x:c r="D32" s="77"/>
      <x:c r="E32" s="77"/>
      <x:c r="F32" s="77"/>
      <x:c r="G32" s="78"/>
      <x:c r="H32" s="79"/>
    </x:row>
    <x:row r="33">
      <x:c r="A33" s="88" t="str">
        <x:v>Fiscal year ended</x:v>
      </x:c>
      <x:c r="B33" s="92" t="n">
        <x:v>44561.5</x:v>
      </x:c>
      <x:c r="C33" s="92" t="n">
        <x:v>44926.5</x:v>
      </x:c>
      <x:c r="D33" s="92" t="n">
        <x:v>45291.5</x:v>
      </x:c>
      <x:c r="E33" s="92" t="n">
        <x:v>45657.5</x:v>
      </x:c>
      <x:c r="F33" s="92" t="n">
        <x:v>46022.5</x:v>
      </x:c>
      <x:c r="G33" s="90" t="str">
        <x:v>Source</x:v>
      </x:c>
      <x:c r="H33" s="91" t="str">
        <x:v>Notes</x:v>
      </x:c>
    </x:row>
    <x:row r="34">
      <x:c r="A34" s="52" t="str">
        <x:v>Net income</x:v>
      </x:c>
      <x:c r="B34" s="93" t="n">
        <x:f>B25</x:f>
        <x:v>279.881</x:v>
      </x:c>
      <x:c r="C34" s="93" t="n">
        <x:f>C25</x:f>
        <x:v>215.525</x:v>
      </x:c>
      <x:c r="D34" s="93" t="n">
        <x:f>D25</x:f>
        <x:v>113.234</x:v>
      </x:c>
      <x:c r="E34" s="93" t="n">
        <x:f>E25</x:f>
        <x:v>106.171</x:v>
      </x:c>
      <x:c r="F34" s="93" t="n">
        <x:f>F25</x:f>
        <x:v>114.442</x:v>
      </x:c>
      <x:c r="G34" s="54"/>
      <x:c r="H34" s="56"/>
    </x:row>
    <x:row r="35">
      <x:c r="A35" s="52" t="str">
        <x:v>Depreciation</x:v>
      </x:c>
      <x:c r="B35" s="93" t="n">
        <x:v>16.616</x:v>
      </x:c>
      <x:c r="C35" s="93" t="n">
        <x:v>16.347</x:v>
      </x:c>
      <x:c r="D35" s="93" t="n">
        <x:v>17.27</x:v>
      </x:c>
      <x:c r="E35" s="93" t="n">
        <x:v>21.271</x:v>
      </x:c>
      <x:c r="F35" s="93" t="n">
        <x:v>20.289</x:v>
      </x:c>
      <x:c r="G35" s="54" t="str">
        <x:v>S-025 / S-019</x:v>
      </x:c>
      <x:c r="H35" s="56" t="str"/>
    </x:row>
    <x:row r="36">
      <x:c r="A36" s="52" t="str">
        <x:v>Amortization of intangible assets</x:v>
      </x:c>
      <x:c r="B36" s="93" t="n">
        <x:v>3.667</x:v>
      </x:c>
      <x:c r="C36" s="93" t="n">
        <x:v>3.274</x:v>
      </x:c>
      <x:c r="D36" s="93" t="n">
        <x:v>4.61</x:v>
      </x:c>
      <x:c r="E36" s="93" t="n">
        <x:v>11.418</x:v>
      </x:c>
      <x:c r="F36" s="93" t="n">
        <x:v>10.504</x:v>
      </x:c>
      <x:c r="G36" s="54" t="str">
        <x:v>S-025 / S-019</x:v>
      </x:c>
      <x:c r="H36" s="56" t="str"/>
    </x:row>
    <x:row r="37">
      <x:c r="A37" s="99" t="str">
        <x:v>Depreciation &amp; amortization</x:v>
      </x:c>
      <x:c r="B37" s="100" t="n">
        <x:f>SUM(B35:B36)</x:f>
        <x:v>20.283</x:v>
      </x:c>
      <x:c r="C37" s="100" t="n">
        <x:f>SUM(C35:C36)</x:f>
        <x:v>19.621000000000002</x:v>
      </x:c>
      <x:c r="D37" s="100" t="n">
        <x:f>SUM(D35:D36)</x:f>
        <x:v>21.88</x:v>
      </x:c>
      <x:c r="E37" s="100" t="n">
        <x:f>SUM(E35:E36)</x:f>
        <x:v>32.689</x:v>
      </x:c>
      <x:c r="F37" s="100" t="n">
        <x:f>SUM(F35:F36)</x:f>
        <x:v>30.793</x:v>
      </x:c>
      <x:c r="G37" s="54"/>
      <x:c r="H37" s="56"/>
    </x:row>
    <x:row r="38">
      <x:c r="A38" s="52" t="str">
        <x:v>Stock-based compensation</x:v>
      </x:c>
      <x:c r="B38" s="93" t="n">
        <x:v>43.774</x:v>
      </x:c>
      <x:c r="C38" s="93" t="n">
        <x:v>54.505</x:v>
      </x:c>
      <x:c r="D38" s="93" t="n">
        <x:v>54.768</x:v>
      </x:c>
      <x:c r="E38" s="93" t="n">
        <x:v>52.443</x:v>
      </x:c>
      <x:c r="F38" s="93" t="n">
        <x:v>48.517</x:v>
      </x:c>
      <x:c r="G38" s="54" t="str">
        <x:v>S-025 / S-019</x:v>
      </x:c>
      <x:c r="H38" s="56" t="str"/>
    </x:row>
    <x:row r="39">
      <x:c r="A39" s="99" t="str">
        <x:v>Cash provided by operating activities</x:v>
      </x:c>
      <x:c r="B39" s="100" t="n">
        <x:v>314.065</x:v>
      </x:c>
      <x:c r="C39" s="100" t="n">
        <x:v>243.406</x:v>
      </x:c>
      <x:c r="D39" s="100" t="n">
        <x:v>112.916</x:v>
      </x:c>
      <x:c r="E39" s="100" t="n">
        <x:v>149.081</x:v>
      </x:c>
      <x:c r="F39" s="100" t="n">
        <x:v>245.514</x:v>
      </x:c>
      <x:c r="G39" s="54" t="str">
        <x:v>S-025 / S-019</x:v>
      </x:c>
      <x:c r="H39" s="56" t="str"/>
    </x:row>
    <x:row r="40">
      <x:c r="A40" s="52" t="str">
        <x:v>Capital expenditures</x:v>
      </x:c>
      <x:c r="B40" s="93" t="n">
        <x:v>-15.455</x:v>
      </x:c>
      <x:c r="C40" s="93" t="n">
        <x:v>-19.667</x:v>
      </x:c>
      <x:c r="D40" s="93" t="n">
        <x:v>-23.077</x:v>
      </x:c>
      <x:c r="E40" s="93" t="n">
        <x:v>-15.043</x:v>
      </x:c>
      <x:c r="F40" s="93" t="n">
        <x:v>-8.743</x:v>
      </x:c>
      <x:c r="G40" s="54" t="str">
        <x:v>S-025 / S-019</x:v>
      </x:c>
      <x:c r="H40" s="56" t="str">
        <x:v>Presented as a cash outflow</x:v>
      </x:c>
    </x:row>
    <x:row r="41">
      <x:c r="A41" s="99" t="str">
        <x:v>Free cash flow</x:v>
      </x:c>
      <x:c r="B41" s="100" t="n">
        <x:f>SUM(B39:B40)</x:f>
        <x:v>298.61</x:v>
      </x:c>
      <x:c r="C41" s="100" t="n">
        <x:f>SUM(C39:C40)</x:f>
        <x:v>223.739</x:v>
      </x:c>
      <x:c r="D41" s="100" t="n">
        <x:f>SUM(D39:D40)</x:f>
        <x:v>89.839</x:v>
      </x:c>
      <x:c r="E41" s="100" t="n">
        <x:f>SUM(E39:E40)</x:f>
        <x:v>134.03799999999998</x:v>
      </x:c>
      <x:c r="F41" s="100" t="n">
        <x:f>SUM(F39:F40)</x:f>
        <x:v>236.77100000000002</x:v>
      </x:c>
      <x:c r="G41" s="54"/>
      <x:c r="H41" s="56"/>
    </x:row>
    <x:row r="42">
      <x:c r="A42" s="52" t="str">
        <x:v>Free cash flow margin</x:v>
      </x:c>
      <x:c r="B42" s="94" t="n">
        <x:f>B41/B7</x:f>
        <x:v>0.2879284310643739</x:v>
      </x:c>
      <x:c r="C42" s="94" t="n">
        <x:f>C41/C7</x:f>
        <x:v>0.22238467731515074</x:v>
      </x:c>
      <x:c r="D42" s="94" t="n">
        <x:f>D41/D7</x:f>
        <x:v>0.10726442814552496</x:v>
      </x:c>
      <x:c r="E42" s="94" t="n">
        <x:f>E41/E7</x:f>
        <x:v>0.1465673061677501</x:v>
      </x:c>
      <x:c r="F42" s="94" t="n">
        <x:f>F41/F7</x:f>
        <x:v>0.2381142022146931</x:v>
      </x:c>
      <x:c r="G42" s="54"/>
      <x:c r="H42" s="56"/>
    </x:row>
    <x:row r="43">
      <x:c r="A43" s="52" t="str">
        <x:v>Free cash flow / net income</x:v>
      </x:c>
      <x:c r="B43" s="94" t="n">
        <x:f>B41/B34</x:f>
        <x:v>1.0669177257477287</x:v>
      </x:c>
      <x:c r="C43" s="94" t="n">
        <x:f>C41/C34</x:f>
        <x:v>1.0381115879828327</x:v>
      </x:c>
      <x:c r="D43" s="94" t="n">
        <x:f>D41/D34</x:f>
        <x:v>0.7933924439655934</x:v>
      </x:c>
      <x:c r="E43" s="94" t="n">
        <x:f>E41/E34</x:f>
        <x:v>1.262472803307871</x:v>
      </x:c>
      <x:c r="F43" s="94" t="n">
        <x:f>F41/F34</x:f>
        <x:v>2.068917005994303</x:v>
      </x:c>
      <x:c r="G43" s="54"/>
      <x:c r="H43" s="56"/>
    </x:row>
    <x:row r="44">
      <x:c r="A44" s="52"/>
      <x:c r="B44" s="53"/>
      <x:c r="C44" s="53"/>
      <x:c r="D44" s="53"/>
      <x:c r="E44" s="53"/>
      <x:c r="F44" s="53"/>
      <x:c r="G44" s="54"/>
      <x:c r="H44" s="56"/>
    </x:row>
    <x:row r="45" ht="19" customHeight="1">
      <x:c r="A45" s="76" t="str">
        <x:v>BALANCE SHEET AND LIQUIDITY</x:v>
      </x:c>
      <x:c r="B45" s="77"/>
      <x:c r="C45" s="77"/>
      <x:c r="D45" s="77"/>
      <x:c r="E45" s="77"/>
      <x:c r="F45" s="77"/>
      <x:c r="G45" s="78"/>
      <x:c r="H45" s="79"/>
    </x:row>
    <x:row r="46">
      <x:c r="A46" s="88" t="str">
        <x:v>Fiscal year ended</x:v>
      </x:c>
      <x:c r="B46" s="92" t="n">
        <x:v>44561.5</x:v>
      </x:c>
      <x:c r="C46" s="92" t="n">
        <x:v>44926.5</x:v>
      </x:c>
      <x:c r="D46" s="92" t="n">
        <x:v>45291.5</x:v>
      </x:c>
      <x:c r="E46" s="92" t="n">
        <x:v>45657.5</x:v>
      </x:c>
      <x:c r="F46" s="92" t="n">
        <x:v>46022.5</x:v>
      </x:c>
      <x:c r="G46" s="90" t="str">
        <x:v>Source</x:v>
      </x:c>
      <x:c r="H46" s="91" t="str">
        <x:v>Notes</x:v>
      </x:c>
    </x:row>
    <x:row r="47">
      <x:c r="A47" s="52" t="str">
        <x:v>Cash and cash equivalents</x:v>
      </x:c>
      <x:c r="B47" s="93" t="n">
        <x:v>186.161</x:v>
      </x:c>
      <x:c r="C47" s="93" t="n">
        <x:v>181.374</x:v>
      </x:c>
      <x:c r="D47" s="93" t="n">
        <x:v>202.655</x:v>
      </x:c>
      <x:c r="E47" s="93" t="n">
        <x:v>186.094</x:v>
      </x:c>
      <x:c r="F47" s="93" t="n">
        <x:v>262.925</x:v>
      </x:c>
      <x:c r="G47" s="54" t="str">
        <x:v>S-025 / S-019</x:v>
      </x:c>
      <x:c r="H47" s="56" t="str"/>
    </x:row>
    <x:row r="48">
      <x:c r="A48" s="52" t="str">
        <x:v>Marketable debt securities</x:v>
      </x:c>
      <x:c r="B48" s="93" t="n">
        <x:v>721.203</x:v>
      </x:c>
      <x:c r="C48" s="93" t="n">
        <x:v>672.876</x:v>
      </x:c>
      <x:c r="D48" s="93" t="n">
        <x:v>373.622</x:v>
      </x:c>
      <x:c r="E48" s="93" t="n">
        <x:v>400.854</x:v>
      </x:c>
      <x:c r="F48" s="93" t="n">
        <x:v>379.376</x:v>
      </x:c>
      <x:c r="G48" s="54" t="str">
        <x:v>S-025 / S-019</x:v>
      </x:c>
      <x:c r="H48" s="56" t="str">
        <x:v>Current and non-current available-for-sale securities</x:v>
      </x:c>
    </x:row>
    <x:row r="49">
      <x:c r="A49" s="52" t="str">
        <x:v>Accounts receivable</x:v>
      </x:c>
      <x:c r="B49" s="93" t="n">
        <x:v>130.348</x:v>
      </x:c>
      <x:c r="C49" s="93" t="n">
        <x:v>125.417</x:v>
      </x:c>
      <x:c r="D49" s="93" t="n">
        <x:v>114.164</x:v>
      </x:c>
      <x:c r="E49" s="93" t="n">
        <x:v>143.359</x:v>
      </x:c>
      <x:c r="F49" s="93" t="n">
        <x:v>146.713</x:v>
      </x:c>
      <x:c r="G49" s="54" t="str">
        <x:v>S-025 / S-019</x:v>
      </x:c>
      <x:c r="H49" s="56" t="str"/>
    </x:row>
    <x:row r="50">
      <x:c r="A50" s="52" t="str">
        <x:v>Inventory</x:v>
      </x:c>
      <x:c r="B50" s="93" t="n">
        <x:v>113.102</x:v>
      </x:c>
      <x:c r="C50" s="93" t="n">
        <x:v>122.48</x:v>
      </x:c>
      <x:c r="D50" s="93" t="n">
        <x:v>162.285</x:v>
      </x:c>
      <x:c r="E50" s="93" t="n">
        <x:v>157.527</x:v>
      </x:c>
      <x:c r="F50" s="93" t="n">
        <x:v>137.889</x:v>
      </x:c>
      <x:c r="G50" s="54" t="str">
        <x:v>S-025 / S-019</x:v>
      </x:c>
      <x:c r="H50" s="56" t="str"/>
    </x:row>
    <x:row r="51">
      <x:c r="A51" s="99" t="str">
        <x:v>Current assets</x:v>
      </x:c>
      <x:c r="B51" s="100" t="n">
        <x:v>639.798</x:v>
      </x:c>
      <x:c r="C51" s="100" t="n">
        <x:v>717.699</x:v>
      </x:c>
      <x:c r="D51" s="100" t="n">
        <x:v>678.997</x:v>
      </x:c>
      <x:c r="E51" s="100" t="n">
        <x:v>613.367</x:v>
      </x:c>
      <x:c r="F51" s="100" t="n">
        <x:v>697.246</x:v>
      </x:c>
      <x:c r="G51" s="54" t="str">
        <x:v>S-025 / S-019</x:v>
      </x:c>
      <x:c r="H51" s="56" t="str"/>
    </x:row>
    <x:row r="52">
      <x:c r="A52" s="52" t="str">
        <x:v>Accounts payable</x:v>
      </x:c>
      <x:c r="B52" s="93" t="n">
        <x:v>44.051</x:v>
      </x:c>
      <x:c r="C52" s="93" t="n">
        <x:v>27.103</x:v>
      </x:c>
      <x:c r="D52" s="93" t="n">
        <x:v>21.454</x:v>
      </x:c>
      <x:c r="E52" s="93" t="n">
        <x:v>38.046</x:v>
      </x:c>
      <x:c r="F52" s="93" t="n">
        <x:v>50.203</x:v>
      </x:c>
      <x:c r="G52" s="54" t="str">
        <x:v>S-025 / S-019</x:v>
      </x:c>
      <x:c r="H52" s="56" t="str"/>
    </x:row>
    <x:row r="53">
      <x:c r="A53" s="52" t="str">
        <x:v>Current liabilities</x:v>
      </x:c>
      <x:c r="B53" s="93" t="n">
        <x:v>188.589</x:v>
      </x:c>
      <x:c r="C53" s="93" t="n">
        <x:v>187.708</x:v>
      </x:c>
      <x:c r="D53" s="93" t="n">
        <x:v>151.884</x:v>
      </x:c>
      <x:c r="E53" s="93" t="n">
        <x:v>169.38</x:v>
      </x:c>
      <x:c r="F53" s="93" t="n">
        <x:v>183.551</x:v>
      </x:c>
      <x:c r="G53" s="54" t="str">
        <x:v>S-025 / S-019</x:v>
      </x:c>
      <x:c r="H53" s="56" t="str"/>
    </x:row>
    <x:row r="54">
      <x:c r="A54" s="99" t="str">
        <x:v>Total assets</x:v>
      </x:c>
      <x:c r="B54" s="100" t="n">
        <x:v>2003.662</x:v>
      </x:c>
      <x:c r="C54" s="100" t="n">
        <x:v>1958.14</x:v>
      </x:c>
      <x:c r="D54" s="100" t="n">
        <x:v>2017.812</x:v>
      </x:c>
      <x:c r="E54" s="100" t="n">
        <x:v>1992.85</x:v>
      </x:c>
      <x:c r="F54" s="100" t="n">
        <x:v>2016.555</x:v>
      </x:c>
      <x:c r="G54" s="54" t="str">
        <x:v>S-025 / S-019</x:v>
      </x:c>
      <x:c r="H54" s="56" t="str"/>
    </x:row>
    <x:row r="55">
      <x:c r="A55" s="52" t="str">
        <x:v>Total liabilities</x:v>
      </x:c>
      <x:c r="B55" s="93" t="n">
        <x:v>573.569</x:v>
      </x:c>
      <x:c r="C55" s="93" t="n">
        <x:v>519.746</x:v>
      </x:c>
      <x:c r="D55" s="93" t="n">
        <x:v>513.06</x:v>
      </x:c>
      <x:c r="E55" s="93" t="n">
        <x:v>475.345</x:v>
      </x:c>
      <x:c r="F55" s="93" t="n">
        <x:v>524.654</x:v>
      </x:c>
      <x:c r="G55" s="54" t="str">
        <x:v>S-025 / S-019</x:v>
      </x:c>
      <x:c r="H55" s="56" t="str"/>
    </x:row>
    <x:row r="56">
      <x:c r="A56" s="99" t="str">
        <x:v>Stockholders' equity</x:v>
      </x:c>
      <x:c r="B56" s="100" t="n">
        <x:v>1430.093</x:v>
      </x:c>
      <x:c r="C56" s="100" t="n">
        <x:v>1438.394</x:v>
      </x:c>
      <x:c r="D56" s="100" t="n">
        <x:v>1504.752</x:v>
      </x:c>
      <x:c r="E56" s="100" t="n">
        <x:v>1517.505</x:v>
      </x:c>
      <x:c r="F56" s="100" t="n">
        <x:v>1491.901</x:v>
      </x:c>
      <x:c r="G56" s="54" t="str">
        <x:v>S-025 / S-019</x:v>
      </x:c>
      <x:c r="H56" s="56" t="str"/>
    </x:row>
    <x:row r="57">
      <x:c r="A57" s="52" t="str">
        <x:v>Total debt</x:v>
      </x:c>
      <x:c r="B57" s="93" t="n">
        <x:v>0</x:v>
      </x:c>
      <x:c r="C57" s="93" t="n">
        <x:v>0</x:v>
      </x:c>
      <x:c r="D57" s="93" t="n">
        <x:v>0</x:v>
      </x:c>
      <x:c r="E57" s="93" t="n">
        <x:v>0</x:v>
      </x:c>
      <x:c r="F57" s="93" t="n">
        <x:v>0</x:v>
      </x:c>
      <x:c r="G57" s="54" t="str">
        <x:v>S-025 / S-019</x:v>
      </x:c>
      <x:c r="H57" s="56" t="str">
        <x:v>No funded debt reported at fiscal year-end</x:v>
      </x:c>
    </x:row>
    <x:row r="58">
      <x:c r="A58" s="99" t="str">
        <x:v>Net cash and investments</x:v>
      </x:c>
      <x:c r="B58" s="100" t="n">
        <x:f>SUM(B47:B48)-B57</x:f>
        <x:v>907.364</x:v>
      </x:c>
      <x:c r="C58" s="100" t="n">
        <x:f>SUM(C47:C48)-C57</x:f>
        <x:v>854.25</x:v>
      </x:c>
      <x:c r="D58" s="100" t="n">
        <x:f>SUM(D47:D48)-D57</x:f>
        <x:v>576.277</x:v>
      </x:c>
      <x:c r="E58" s="100" t="n">
        <x:f>SUM(E47:E48)-E57</x:f>
        <x:v>586.948</x:v>
      </x:c>
      <x:c r="F58" s="100" t="n">
        <x:f>SUM(F47:F48)-F57</x:f>
        <x:v>642.3009999999999</x:v>
      </x:c>
      <x:c r="G58" s="54"/>
      <x:c r="H58" s="56"/>
    </x:row>
    <x:row r="59">
      <x:c r="A59" s="99" t="str">
        <x:v>Balance sheet check</x:v>
      </x:c>
      <x:c r="B59" s="100" t="n">
        <x:f>B54-B55-B56</x:f>
        <x:v>0</x:v>
      </x:c>
      <x:c r="C59" s="100" t="n">
        <x:f>C54-C55-C56</x:f>
        <x:v>2.2737367544323206e-13</x:v>
      </x:c>
      <x:c r="D59" s="100" t="n">
        <x:f>D54-D55-D56</x:f>
        <x:v>0</x:v>
      </x:c>
      <x:c r="E59" s="100" t="n">
        <x:f>E54-E55-E56</x:f>
        <x:v>-2.2737367544323206e-13</x:v>
      </x:c>
      <x:c r="F59" s="100" t="n">
        <x:f>F54-F55-F56</x:f>
        <x:v>0</x:v>
      </x:c>
      <x:c r="G59" s="54"/>
      <x:c r="H59" s="56"/>
    </x:row>
    <x:row r="60">
      <x:c r="A60" s="99" t="str">
        <x:v>Net working capital</x:v>
      </x:c>
      <x:c r="B60" s="100" t="n">
        <x:f>B51-B53</x:f>
        <x:v>451.209</x:v>
      </x:c>
      <x:c r="C60" s="100" t="n">
        <x:f>C51-C53</x:f>
        <x:v>529.991</x:v>
      </x:c>
      <x:c r="D60" s="100" t="n">
        <x:f>D51-D53</x:f>
        <x:v>527.1129999999999</x:v>
      </x:c>
      <x:c r="E60" s="100" t="n">
        <x:f>E51-E53</x:f>
        <x:v>443.98699999999997</x:v>
      </x:c>
      <x:c r="F60" s="100" t="n">
        <x:f>F51-F53</x:f>
        <x:v>513.6949999999999</x:v>
      </x:c>
      <x:c r="G60" s="54"/>
      <x:c r="H60" s="56"/>
    </x:row>
    <x:row r="61">
      <x:c r="A61" s="52" t="str">
        <x:v>Operating NWC proxy (A/R + inventory - A/P)</x:v>
      </x:c>
      <x:c r="B61" s="93" t="n">
        <x:f>B49+B50-B52</x:f>
        <x:v>199.399</x:v>
      </x:c>
      <x:c r="C61" s="93" t="n">
        <x:f>C49+C50-C52</x:f>
        <x:v>220.79399999999998</x:v>
      </x:c>
      <x:c r="D61" s="93" t="n">
        <x:f>D49+D50-D52</x:f>
        <x:v>254.995</x:v>
      </x:c>
      <x:c r="E61" s="93" t="n">
        <x:f>E49+E50-E52</x:f>
        <x:v>262.84</x:v>
      </x:c>
      <x:c r="F61" s="93" t="n">
        <x:f>F49+F50-F52</x:f>
        <x:v>234.39899999999997</x:v>
      </x:c>
      <x:c r="G61" s="54"/>
      <x:c r="H61" s="56"/>
    </x:row>
    <x:row r="62">
      <x:c r="A62" s="52" t="str">
        <x:v>Operating NWC proxy / revenue</x:v>
      </x:c>
      <x:c r="B62" s="94" t="n">
        <x:f>B61/B7</x:f>
        <x:v>0.19226630463080635</x:v>
      </x:c>
      <x:c r="C62" s="94" t="n">
        <x:f>C61/C7</x:f>
        <x:v>0.21945750380184673</x:v>
      </x:c>
      <x:c r="D62" s="94" t="n">
        <x:f>D61/D7</x:f>
        <x:v>0.30445455598312693</x:v>
      </x:c>
      <x:c r="E62" s="94" t="n">
        <x:f>E61/E7</x:f>
        <x:v>0.28740917316829134</x:v>
      </x:c>
      <x:c r="F62" s="94" t="n">
        <x:f>F61/F7</x:f>
        <x:v>0.2357287458553701</x:v>
      </x:c>
      <x:c r="G62" s="54"/>
      <x:c r="H62" s="56"/>
    </x:row>
    <x:row r="63">
      <x:c r="A63" s="52"/>
      <x:c r="B63" s="53"/>
      <x:c r="C63" s="53"/>
      <x:c r="D63" s="53"/>
      <x:c r="E63" s="53"/>
      <x:c r="F63" s="53"/>
      <x:c r="G63" s="54"/>
      <x:c r="H63" s="56"/>
    </x:row>
    <x:row r="64" ht="19" customHeight="1">
      <x:c r="A64" s="76" t="str">
        <x:v>OPERATING KPIs</x:v>
      </x:c>
      <x:c r="B64" s="77"/>
      <x:c r="C64" s="77"/>
      <x:c r="D64" s="77"/>
      <x:c r="E64" s="77"/>
      <x:c r="F64" s="77"/>
      <x:c r="G64" s="78"/>
      <x:c r="H64" s="79"/>
    </x:row>
    <x:row r="65">
      <x:c r="A65" s="88" t="str">
        <x:v>Fiscal year ended</x:v>
      </x:c>
      <x:c r="B65" s="92" t="n">
        <x:v>44561.5</x:v>
      </x:c>
      <x:c r="C65" s="92" t="n">
        <x:v>44926.5</x:v>
      </x:c>
      <x:c r="D65" s="92" t="n">
        <x:v>45291.5</x:v>
      </x:c>
      <x:c r="E65" s="92" t="n">
        <x:v>45657.5</x:v>
      </x:c>
      <x:c r="F65" s="92" t="n">
        <x:v>46022.5</x:v>
      </x:c>
      <x:c r="G65" s="90" t="str">
        <x:v>Source</x:v>
      </x:c>
      <x:c r="H65" s="91" t="str">
        <x:v>Notes</x:v>
      </x:c>
    </x:row>
    <x:row r="66">
      <x:c r="A66" s="52" t="str">
        <x:v>Days sales outstanding</x:v>
      </x:c>
      <x:c r="B66" s="103" t="n">
        <x:f>B49/B7*365</x:f>
        <x:v>45.875143911182946</x:v>
      </x:c>
      <x:c r="C66" s="103" t="n">
        <x:f>C49/C7*365</x:f>
        <x:v>45.50010933415499</x:v>
      </x:c>
      <x:c r="D66" s="103" t="n">
        <x:f>D49/D7*365</x:f>
        <x:v>49.752264649028646</x:v>
      </x:c>
      <x:c r="E66" s="103" t="n">
        <x:f>E49/E7*365</x:f>
        <x:v>57.217251767330225</x:v>
      </x:c>
      <x:c r="F66" s="103" t="n">
        <x:f>F49/F7*365</x:f>
        <x:v>53.854035614903665</x:v>
      </x:c>
      <x:c r="G66" s="54"/>
      <x:c r="H66" s="56"/>
    </x:row>
    <x:row r="67">
      <x:c r="A67" s="52" t="str">
        <x:v>Days inventory outstanding</x:v>
      </x:c>
      <x:c r="B67" s="103" t="n">
        <x:f>B50/B9*365</x:f>
        <x:v>148.8876586444309</x:v>
      </x:c>
      <x:c r="C67" s="103" t="n">
        <x:f>C50/C9*365</x:f>
        <x:v>157.3102028608125</x:v>
      </x:c>
      <x:c r="D67" s="103" t="n">
        <x:f>D50/D9*365</x:f>
        <x:v>250.6666144744526</x:v>
      </x:c>
      <x:c r="E67" s="103" t="n">
        <x:f>E50/E9*365</x:f>
        <x:v>199.14503967498032</x:v>
      </x:c>
      <x:c r="F67" s="103" t="n">
        <x:f>F50/F9*365</x:f>
        <x:v>152.99296887824275</x:v>
      </x:c>
      <x:c r="G67" s="54"/>
      <x:c r="H67" s="56"/>
    </x:row>
    <x:row r="68">
      <x:c r="A68" s="52" t="str">
        <x:v>Days payable outstanding</x:v>
      </x:c>
      <x:c r="B68" s="103" t="n">
        <x:f>B52/B9*365</x:f>
        <x:v>57.98880878274324</x:v>
      </x:c>
      <x:c r="C68" s="103" t="n">
        <x:f>C52/C9*365</x:f>
        <x:v>34.81040519379982</x:v>
      </x:c>
      <x:c r="D68" s="103" t="n">
        <x:f>D52/D9*365</x:f>
        <x:v>33.13800749875162</x:v>
      </x:c>
      <x:c r="E68" s="103" t="n">
        <x:f>E52/E9*365</x:f>
        <x:v>48.09760980323565</x:v>
      </x:c>
      <x:c r="F68" s="103" t="n">
        <x:f>F52/F9*365</x:f>
        <x:v>55.70209383340528</x:v>
      </x:c>
      <x:c r="G68" s="54"/>
      <x:c r="H68" s="56"/>
    </x:row>
    <x:row r="69">
      <x:c r="A69" s="52" t="str">
        <x:v>Revenue CAGR since FY2021</x:v>
      </x:c>
      <x:c r="B69" s="94"/>
      <x:c r="C69" s="94" t="n">
        <x:f>(C7/$B$7)^(1/1)-1</x:f>
        <x:v>-0.029898813805445457</x:v>
      </x:c>
      <x:c r="D69" s="94" t="n">
        <x:f>(D7/$B$7)^(1/2)-1</x:f>
        <x:v>-0.10134148167592494</x:v>
      </x:c>
      <x:c r="E69" s="94" t="n">
        <x:f>(E7/$B$7)^(1/3)-1</x:f>
        <x:v>-0.04106240481178636</x:v>
      </x:c>
      <x:c r="F69" s="94" t="n">
        <x:f>(F7/$B$7)^(1/4)-1</x:f>
        <x:v>-0.01046569911229367</x:v>
      </x:c>
      <x:c r="G69" s="54"/>
      <x:c r="H69" s="56"/>
    </x:row>
    <x:row r="70">
      <x:c r="A70" s="52" t="str">
        <x:v>Net cash and investments</x:v>
      </x:c>
      <x:c r="B70" s="93" t="n">
        <x:f>B58</x:f>
        <x:v>907.364</x:v>
      </x:c>
      <x:c r="C70" s="93" t="n">
        <x:f>C58</x:f>
        <x:v>854.25</x:v>
      </x:c>
      <x:c r="D70" s="93" t="n">
        <x:f>D58</x:f>
        <x:v>576.277</x:v>
      </x:c>
      <x:c r="E70" s="93" t="n">
        <x:f>E58</x:f>
        <x:v>586.948</x:v>
      </x:c>
      <x:c r="F70" s="93" t="n">
        <x:f>F58</x:f>
        <x:v>642.3009999999999</x:v>
      </x:c>
      <x:c r="G70" s="54"/>
      <x:c r="H70" s="56"/>
    </x:row>
    <x:row r="71">
      <x:c r="A71" s="52"/>
      <x:c r="B71" s="53"/>
      <x:c r="C71" s="53"/>
      <x:c r="D71" s="53"/>
      <x:c r="E71" s="53"/>
      <x:c r="F71" s="53"/>
      <x:c r="G71" s="54"/>
      <x:c r="H71" s="56"/>
    </x:row>
    <x:row r="72" ht="19" customHeight="1">
      <x:c r="A72" s="76" t="str">
        <x:v>ANALYST TAKEAWAYS</x:v>
      </x:c>
      <x:c r="B72" s="77"/>
      <x:c r="C72" s="77"/>
      <x:c r="D72" s="77"/>
      <x:c r="E72" s="77"/>
      <x:c r="F72" s="77"/>
      <x:c r="G72" s="78"/>
      <x:c r="H72" s="79"/>
    </x:row>
    <x:row r="73" ht="28" customHeight="1">
      <x:c r="A73" s="107" t="str">
        <x:v>• Revenue peaked above $1.0 billion in FY2021, declined materially in FY2023, and recovered to a new high of $994 million in FY2025.</x:v>
      </x:c>
      <x:c r="B73" s="108"/>
      <x:c r="C73" s="108"/>
      <x:c r="D73" s="108"/>
      <x:c r="E73" s="108"/>
      <x:c r="F73" s="108"/>
      <x:c r="G73" s="109"/>
      <x:c r="H73" s="107"/>
    </x:row>
    <x:row r="74" ht="28" customHeight="1">
      <x:c r="A74" s="107" t="str">
        <x:v>• Operating margin compressed from approximately 30% in FY2021 to approximately 12% in FY2024 before recovering in FY2025, demonstrating both cyclicality and operating leverage.</x:v>
      </x:c>
      <x:c r="B74" s="108"/>
      <x:c r="C74" s="108"/>
      <x:c r="D74" s="108"/>
      <x:c r="E74" s="108"/>
      <x:c r="F74" s="108"/>
      <x:c r="G74" s="109"/>
      <x:c r="H74" s="107"/>
    </x:row>
    <x:row r="75" ht="28" customHeight="1">
      <x:c r="A75" s="107" t="str">
        <x:v>• FY2025 free cash flow improved meaningfully as revenue and margins recovered, while capital intensity remained low.</x:v>
      </x:c>
      <x:c r="B75" s="108"/>
      <x:c r="C75" s="108"/>
      <x:c r="D75" s="108"/>
      <x:c r="E75" s="108"/>
      <x:c r="F75" s="108"/>
      <x:c r="G75" s="109"/>
      <x:c r="H75" s="107"/>
    </x:row>
    <x:row r="76" ht="28" customHeight="1">
      <x:c r="A76" s="107" t="str">
        <x:v>• Cognex ended FY2025 with substantial cash and investments and no funded debt, increasing standalone value and reducing the buyer's effective purchase cost.</x:v>
      </x:c>
      <x:c r="B76" s="108"/>
      <x:c r="C76" s="108"/>
      <x:c r="D76" s="108"/>
      <x:c r="E76" s="108"/>
      <x:c r="F76" s="108"/>
      <x:c r="G76" s="109"/>
      <x:c r="H76" s="107"/>
    </x:row>
  </x:sheetData>
  <x:mergeCells>
    <x:mergeCell ref="A1:H1"/>
    <x:mergeCell ref="A2:H2"/>
    <x:mergeCell ref="B3:F3"/>
    <x:mergeCell ref="A5:H5"/>
    <x:mergeCell ref="A32:H32"/>
    <x:mergeCell ref="A45:H45"/>
    <x:mergeCell ref="A64:H64"/>
    <x:mergeCell ref="A72:H72"/>
    <x:mergeCell ref="A73:H73"/>
    <x:mergeCell ref="A74:H74"/>
    <x:mergeCell ref="A75:H75"/>
    <x:mergeCell ref="A76:H76"/>
  </x:mergeCells>
  <x:pageMargins left="0.7" right="0.7" top="0.75" bottom="0.75" header="0.3" footer="0.3"/>
  <x:legacyDrawing xmlns:r="http://schemas.openxmlformats.org/officeDocument/2006/relationships" r:id="R1a7ab3b54371452f"/>
</x:worksheet>
</file>

<file path=xl/worksheets/sheet6.xml><?xml version="1.0" encoding="utf-8"?>
<x:worksheet xmlns:x="http://schemas.openxmlformats.org/spreadsheetml/2006/main">
  <x:sheetViews>
    <x:sheetView showGridLines="0" workbookViewId="0"/>
  </x:sheetViews>
  <x:sheetFormatPr defaultRowHeight="15"/>
  <x:cols>
    <x:col min="1" max="1" width="31"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48" hidden="0" customWidth="1"/>
  </x:cols>
  <x:sheetData>
    <x:row r="1" ht="25" customHeight="1">
      <x:c r="A1" s="238" t="str">
        <x:v>CGNX Operating Model</x:v>
      </x:c>
      <x:c r="B1" s="238"/>
      <x:c r="C1" s="238"/>
      <x:c r="D1" s="238"/>
      <x:c r="E1" s="238"/>
      <x:c r="F1" s="238"/>
      <x:c r="G1" s="238"/>
      <x:c r="H1" s="238"/>
      <x:c r="I1" s="238"/>
      <x:c r="J1" s="238"/>
    </x:row>
    <x:row r="2" ht="20" customHeight="1">
      <x:c r="A2" s="181" t="str">
        <x:v>Cognex five-year driver-based forecast | USD millions, except per-share data</x:v>
      </x:c>
      <x:c r="B2" s="181"/>
      <x:c r="C2" s="181"/>
      <x:c r="D2" s="181"/>
      <x:c r="E2" s="181"/>
      <x:c r="F2" s="181"/>
      <x:c r="G2" s="181"/>
      <x:c r="H2" s="181"/>
      <x:c r="I2" s="181"/>
      <x:c r="J2" s="181"/>
    </x:row>
    <x:row r="3" ht="20" customHeight="1">
      <x:c r="A3" s="183" t="str">
        <x:v>Status</x:v>
      </x:c>
      <x:c r="B3" s="183" t="str">
        <x:v>Complete — scenario-driven FY2026E to FY2030E forecast</x:v>
      </x:c>
      <x:c r="C3" s="183"/>
      <x:c r="D3" s="183"/>
      <x:c r="E3" s="183"/>
      <x:c r="F3" s="183"/>
      <x:c r="G3" s="183"/>
      <x:c r="H3" s="183"/>
      <x:c r="I3" s="183"/>
      <x:c r="J3" s="183"/>
    </x:row>
    <x:row r="4" ht="16" customHeight="1"/>
    <x:row r="5" ht="16" customHeight="1">
      <x:c r="A5" s="139" t="str">
        <x:v>ACTIVE FORECAST DRIVERS</x:v>
      </x:c>
      <x:c r="B5" s="139"/>
      <x:c r="C5" s="139"/>
      <x:c r="D5" s="139"/>
      <x:c r="E5" s="139"/>
      <x:c r="F5" s="139"/>
      <x:c r="G5" s="139"/>
      <x:c r="H5" s="139"/>
      <x:c r="I5" s="139"/>
      <x:c r="J5" s="139"/>
    </x:row>
    <x:row r="6" ht="16" customHeight="1">
      <x:c r="A6" s="144" t="str">
        <x:v>Driver</x:v>
      </x:c>
      <x:c r="B6" s="144" t="str">
        <x:v>FY2026E</x:v>
      </x:c>
      <x:c r="C6" s="144" t="str">
        <x:v>FY2027E</x:v>
      </x:c>
      <x:c r="D6" s="144" t="str">
        <x:v>FY2028E</x:v>
      </x:c>
      <x:c r="E6" s="144" t="str">
        <x:v>FY2029E</x:v>
      </x:c>
      <x:c r="F6" s="144" t="str">
        <x:v>FY2030E</x:v>
      </x:c>
      <x:c r="G6" s="144" t="str">
        <x:v>Selected case / methodology</x:v>
      </x:c>
    </x:row>
    <x:row r="7" ht="16" customHeight="1">
      <x:c r="A7" s="184" t="str">
        <x:v>Revenue growth</x:v>
      </x:c>
      <x:c r="B7" s="199" t="n">
        <x:f>IF('Control'!$B$5="Upside",'Control'!C23,IF('Control'!$B$5="Downside",'Control'!C24,'Control'!C22))</x:f>
        <x:v>0.14646722159702885</x:v>
      </x:c>
      <x:c r="C7" s="199" t="n">
        <x:f>IF('Control'!$B$5="Upside",'Control'!D23,IF('Control'!$B$5="Downside",'Control'!D24,'Control'!D22))</x:f>
        <x:v>0.09</x:v>
      </x:c>
      <x:c r="D7" s="199" t="n">
        <x:f>IF('Control'!$B$5="Upside",'Control'!E23,IF('Control'!$B$5="Downside",'Control'!E24,'Control'!E22))</x:f>
        <x:v>0.08</x:v>
      </x:c>
      <x:c r="E7" s="199" t="n">
        <x:f>IF('Control'!$B$5="Upside",'Control'!F23,IF('Control'!$B$5="Downside",'Control'!F24,'Control'!F22))</x:f>
        <x:v>0.07</x:v>
      </x:c>
      <x:c r="F7" s="199" t="n">
        <x:f>IF('Control'!$B$5="Upside",'Control'!G23,IF('Control'!$B$5="Downside",'Control'!G24,'Control'!G22))</x:f>
        <x:v>0.065</x:v>
      </x:c>
      <x:c r="G7" s="202" t="str">
        <x:f>'Control'!$B$5</x:f>
        <x:v>Base</x:v>
      </x:c>
    </x:row>
    <x:row r="8" ht="16" customHeight="1">
      <x:c r="A8" s="187" t="str">
        <x:v>Gross margin</x:v>
      </x:c>
      <x:c r="B8" s="200" t="n">
        <x:f>IF('Control'!$B$5="Upside",'Control'!C26,IF('Control'!$B$5="Downside",'Control'!C27,'Control'!C25))</x:f>
        <x:v>0.705</x:v>
      </x:c>
      <x:c r="C8" s="200" t="n">
        <x:f>IF('Control'!$B$5="Upside",'Control'!D26,IF('Control'!$B$5="Downside",'Control'!D27,'Control'!D25))</x:f>
        <x:v>0.707</x:v>
      </x:c>
      <x:c r="D8" s="200" t="n">
        <x:f>IF('Control'!$B$5="Upside",'Control'!E26,IF('Control'!$B$5="Downside",'Control'!E27,'Control'!E25))</x:f>
        <x:v>0.71</x:v>
      </x:c>
      <x:c r="E8" s="200" t="n">
        <x:f>IF('Control'!$B$5="Upside",'Control'!F26,IF('Control'!$B$5="Downside",'Control'!F27,'Control'!F25))</x:f>
        <x:v>0.712</x:v>
      </x:c>
      <x:c r="F8" s="200" t="n">
        <x:f>IF('Control'!$B$5="Upside",'Control'!G26,IF('Control'!$B$5="Downside",'Control'!G27,'Control'!G25))</x:f>
        <x:v>0.713</x:v>
      </x:c>
      <x:c r="G8" s="203" t="str">
        <x:f>'Control'!$B$5</x:f>
        <x:v>Base</x:v>
      </x:c>
    </x:row>
    <x:row r="9" ht="16" customHeight="1">
      <x:c r="A9" s="187" t="str">
        <x:v>R&amp;D % revenue</x:v>
      </x:c>
      <x:c r="B9" s="200" t="n">
        <x:f>IF('Control'!$B$5="Upside",'Control'!C29,IF('Control'!$B$5="Downside",'Control'!C30,'Control'!C28))</x:f>
        <x:v>0.135</x:v>
      </x:c>
      <x:c r="C9" s="200" t="n">
        <x:f>IF('Control'!$B$5="Upside",'Control'!D29,IF('Control'!$B$5="Downside",'Control'!D30,'Control'!D28))</x:f>
        <x:v>0.134</x:v>
      </x:c>
      <x:c r="D9" s="200" t="n">
        <x:f>IF('Control'!$B$5="Upside",'Control'!E29,IF('Control'!$B$5="Downside",'Control'!E30,'Control'!E28))</x:f>
        <x:v>0.133</x:v>
      </x:c>
      <x:c r="E9" s="200" t="n">
        <x:f>IF('Control'!$B$5="Upside",'Control'!F29,IF('Control'!$B$5="Downside",'Control'!F30,'Control'!F28))</x:f>
        <x:v>0.132</x:v>
      </x:c>
      <x:c r="F9" s="200" t="n">
        <x:f>IF('Control'!$B$5="Upside",'Control'!G29,IF('Control'!$B$5="Downside",'Control'!G30,'Control'!G28))</x:f>
        <x:v>0.132</x:v>
      </x:c>
      <x:c r="G9" s="203" t="str">
        <x:f>'Control'!$B$5</x:f>
        <x:v>Base</x:v>
      </x:c>
    </x:row>
    <x:row r="10" ht="16" customHeight="1">
      <x:c r="A10" s="187" t="str">
        <x:v>SG&amp;A % revenue</x:v>
      </x:c>
      <x:c r="B10" s="200" t="n">
        <x:f>IF('Control'!$B$5="Upside",'Control'!C32,IF('Control'!$B$5="Downside",'Control'!C33,'Control'!C31))</x:f>
        <x:v>0.31</x:v>
      </x:c>
      <x:c r="C10" s="200" t="n">
        <x:f>IF('Control'!$B$5="Upside",'Control'!D32,IF('Control'!$B$5="Downside",'Control'!D33,'Control'!D31))</x:f>
        <x:v>0.305</x:v>
      </x:c>
      <x:c r="D10" s="200" t="n">
        <x:f>IF('Control'!$B$5="Upside",'Control'!E32,IF('Control'!$B$5="Downside",'Control'!E33,'Control'!E31))</x:f>
        <x:v>0.3</x:v>
      </x:c>
      <x:c r="E10" s="200" t="n">
        <x:f>IF('Control'!$B$5="Upside",'Control'!F32,IF('Control'!$B$5="Downside",'Control'!F33,'Control'!F31))</x:f>
        <x:v>0.295</x:v>
      </x:c>
      <x:c r="F10" s="200" t="n">
        <x:f>IF('Control'!$B$5="Upside",'Control'!G32,IF('Control'!$B$5="Downside",'Control'!G33,'Control'!G31))</x:f>
        <x:v>0.292</x:v>
      </x:c>
      <x:c r="G10" s="203" t="str">
        <x:f>'Control'!$B$5</x:f>
        <x:v>Base</x:v>
      </x:c>
    </x:row>
    <x:row r="11" ht="16" customHeight="1">
      <x:c r="A11" s="187" t="str">
        <x:v>D&amp;A % revenue</x:v>
      </x:c>
      <x:c r="B11" s="200" t="n">
        <x:f>IF('Control'!$B$5="Upside",'Control'!C35,IF('Control'!$B$5="Downside",'Control'!C36,'Control'!C34))</x:f>
        <x:v>0.03</x:v>
      </x:c>
      <x:c r="C11" s="200" t="n">
        <x:f>IF('Control'!$B$5="Upside",'Control'!D35,IF('Control'!$B$5="Downside",'Control'!D36,'Control'!D34))</x:f>
        <x:v>0.029</x:v>
      </x:c>
      <x:c r="D11" s="200" t="n">
        <x:f>IF('Control'!$B$5="Upside",'Control'!E35,IF('Control'!$B$5="Downside",'Control'!E36,'Control'!E34))</x:f>
        <x:v>0.028</x:v>
      </x:c>
      <x:c r="E11" s="200" t="n">
        <x:f>IF('Control'!$B$5="Upside",'Control'!F35,IF('Control'!$B$5="Downside",'Control'!F36,'Control'!F34))</x:f>
        <x:v>0.027</x:v>
      </x:c>
      <x:c r="F11" s="200" t="n">
        <x:f>IF('Control'!$B$5="Upside",'Control'!G35,IF('Control'!$B$5="Downside",'Control'!G36,'Control'!G34))</x:f>
        <x:v>0.026</x:v>
      </x:c>
      <x:c r="G11" s="203" t="str">
        <x:f>'Control'!$B$5</x:f>
        <x:v>Base</x:v>
      </x:c>
      <x:c r="H11"/>
    </x:row>
    <x:row r="12" ht="16" customHeight="1">
      <x:c r="A12" s="187" t="str">
        <x:v>Tax rate</x:v>
      </x:c>
      <x:c r="B12" s="200" t="n">
        <x:f>IF('Control'!$B$5="Upside",'Control'!C38,IF('Control'!$B$5="Downside",'Control'!C39,'Control'!C37))</x:f>
        <x:v>0.2</x:v>
      </x:c>
      <x:c r="C12" s="200" t="n">
        <x:f>IF('Control'!$B$5="Upside",'Control'!D38,IF('Control'!$B$5="Downside",'Control'!D39,'Control'!D37))</x:f>
        <x:v>0.2</x:v>
      </x:c>
      <x:c r="D12" s="200" t="n">
        <x:f>IF('Control'!$B$5="Upside",'Control'!E38,IF('Control'!$B$5="Downside",'Control'!E39,'Control'!E37))</x:f>
        <x:v>0.2</x:v>
      </x:c>
      <x:c r="E12" s="200" t="n">
        <x:f>IF('Control'!$B$5="Upside",'Control'!F38,IF('Control'!$B$5="Downside",'Control'!F39,'Control'!F37))</x:f>
        <x:v>0.2</x:v>
      </x:c>
      <x:c r="F12" s="200" t="n">
        <x:f>IF('Control'!$B$5="Upside",'Control'!G38,IF('Control'!$B$5="Downside",'Control'!G39,'Control'!G37))</x:f>
        <x:v>0.2</x:v>
      </x:c>
      <x:c r="G12" s="203" t="str">
        <x:f>'Control'!$B$5</x:f>
        <x:v>Base</x:v>
      </x:c>
    </x:row>
    <x:row r="13" ht="16" customHeight="1">
      <x:c r="A13" s="187" t="str">
        <x:v>Net interest &amp; other % revenue</x:v>
      </x:c>
      <x:c r="B13" s="200" t="n">
        <x:f>IF('Control'!$B$5="Upside",'Control'!C41,IF('Control'!$B$5="Downside",'Control'!C42,'Control'!C40))</x:f>
        <x:v>0.015</x:v>
      </x:c>
      <x:c r="C13" s="200" t="n">
        <x:f>IF('Control'!$B$5="Upside",'Control'!D41,IF('Control'!$B$5="Downside",'Control'!D42,'Control'!D40))</x:f>
        <x:v>0.013</x:v>
      </x:c>
      <x:c r="D13" s="200" t="n">
        <x:f>IF('Control'!$B$5="Upside",'Control'!E41,IF('Control'!$B$5="Downside",'Control'!E42,'Control'!E40))</x:f>
        <x:v>0.011</x:v>
      </x:c>
      <x:c r="E13" s="200" t="n">
        <x:f>IF('Control'!$B$5="Upside",'Control'!F41,IF('Control'!$B$5="Downside",'Control'!F42,'Control'!F40))</x:f>
        <x:v>0.01</x:v>
      </x:c>
      <x:c r="F13" s="200" t="n">
        <x:f>IF('Control'!$B$5="Upside",'Control'!G41,IF('Control'!$B$5="Downside",'Control'!G42,'Control'!G40))</x:f>
        <x:v>0.009</x:v>
      </x:c>
      <x:c r="G13" s="203" t="str">
        <x:f>'Control'!$B$5</x:f>
        <x:v>Base</x:v>
      </x:c>
    </x:row>
    <x:row r="14" ht="16" customHeight="1">
      <x:c r="A14" s="187" t="str">
        <x:v>Capex % revenue</x:v>
      </x:c>
      <x:c r="B14" s="200" t="n">
        <x:f>IF('Control'!$B$5="Upside",'Control'!C44,IF('Control'!$B$5="Downside",'Control'!C45,'Control'!C43))</x:f>
        <x:v>0.015</x:v>
      </x:c>
      <x:c r="C14" s="200" t="n">
        <x:f>IF('Control'!$B$5="Upside",'Control'!D44,IF('Control'!$B$5="Downside",'Control'!D45,'Control'!D43))</x:f>
        <x:v>0.016</x:v>
      </x:c>
      <x:c r="D14" s="200" t="n">
        <x:f>IF('Control'!$B$5="Upside",'Control'!E44,IF('Control'!$B$5="Downside",'Control'!E45,'Control'!E43))</x:f>
        <x:v>0.017</x:v>
      </x:c>
      <x:c r="E14" s="200" t="n">
        <x:f>IF('Control'!$B$5="Upside",'Control'!F44,IF('Control'!$B$5="Downside",'Control'!F45,'Control'!F43))</x:f>
        <x:v>0.018</x:v>
      </x:c>
      <x:c r="F14" s="200" t="n">
        <x:f>IF('Control'!$B$5="Upside",'Control'!G44,IF('Control'!$B$5="Downside",'Control'!G45,'Control'!G43))</x:f>
        <x:v>0.018</x:v>
      </x:c>
      <x:c r="G14" s="203" t="str">
        <x:f>'Control'!$B$5</x:f>
        <x:v>Base</x:v>
      </x:c>
    </x:row>
    <x:row r="15" ht="16" customHeight="1">
      <x:c r="A15" s="187" t="str">
        <x:v>Operating NWC % revenue</x:v>
      </x:c>
      <x:c r="B15" s="200" t="n">
        <x:f>IF('Control'!$B$5="Upside",'Control'!C47,IF('Control'!$B$5="Downside",'Control'!C48,'Control'!C46))</x:f>
        <x:v>0.23</x:v>
      </x:c>
      <x:c r="C15" s="200" t="n">
        <x:f>IF('Control'!$B$5="Upside",'Control'!D47,IF('Control'!$B$5="Downside",'Control'!D48,'Control'!D46))</x:f>
        <x:v>0.228</x:v>
      </x:c>
      <x:c r="D15" s="200" t="n">
        <x:f>IF('Control'!$B$5="Upside",'Control'!E47,IF('Control'!$B$5="Downside",'Control'!E48,'Control'!E46))</x:f>
        <x:v>0.225</x:v>
      </x:c>
      <x:c r="E15" s="200" t="n">
        <x:f>IF('Control'!$B$5="Upside",'Control'!F47,IF('Control'!$B$5="Downside",'Control'!F48,'Control'!F46))</x:f>
        <x:v>0.223</x:v>
      </x:c>
      <x:c r="F15" s="200" t="n">
        <x:f>IF('Control'!$B$5="Upside",'Control'!G47,IF('Control'!$B$5="Downside",'Control'!G48,'Control'!G46))</x:f>
        <x:v>0.22</x:v>
      </x:c>
      <x:c r="G15" s="203" t="str">
        <x:f>'Control'!$B$5</x:f>
        <x:v>Base</x:v>
      </x:c>
    </x:row>
    <x:row r="16" ht="16" customHeight="1">
      <x:c r="A16" s="190" t="str">
        <x:v>Diluted share change</x:v>
      </x:c>
      <x:c r="B16" s="201" t="n">
        <x:f>IF('Control'!$B$5="Upside",'Control'!C50,IF('Control'!$B$5="Downside",'Control'!C51,'Control'!C49))</x:f>
        <x:v>-0.01</x:v>
      </x:c>
      <x:c r="C16" s="201" t="n">
        <x:f>IF('Control'!$B$5="Upside",'Control'!D50,IF('Control'!$B$5="Downside",'Control'!D51,'Control'!D49))</x:f>
        <x:v>-0.01</x:v>
      </x:c>
      <x:c r="D16" s="201" t="n">
        <x:f>IF('Control'!$B$5="Upside",'Control'!E50,IF('Control'!$B$5="Downside",'Control'!E51,'Control'!E49))</x:f>
        <x:v>-0.01</x:v>
      </x:c>
      <x:c r="E16" s="201" t="n">
        <x:f>IF('Control'!$B$5="Upside",'Control'!F50,IF('Control'!$B$5="Downside",'Control'!F51,'Control'!F49))</x:f>
        <x:v>-0.01</x:v>
      </x:c>
      <x:c r="F16" s="201" t="n">
        <x:f>IF('Control'!$B$5="Upside",'Control'!G50,IF('Control'!$B$5="Downside",'Control'!G51,'Control'!G49))</x:f>
        <x:v>-0.01</x:v>
      </x:c>
      <x:c r="G16" s="204" t="str">
        <x:f>'Control'!$B$5</x:f>
        <x:v>Base</x:v>
      </x:c>
    </x:row>
    <x:row r="17" ht="16" customHeight="1"/>
    <x:row r="18" ht="16" customHeight="1">
      <x:c r="A18" s="139" t="str">
        <x:v>INCOME STATEMENT AND PROFITABILITY</x:v>
      </x:c>
      <x:c r="B18" s="139"/>
      <x:c r="C18" s="139"/>
      <x:c r="D18" s="139"/>
      <x:c r="E18" s="139"/>
      <x:c r="F18" s="139"/>
      <x:c r="G18" s="139"/>
      <x:c r="H18" s="139"/>
      <x:c r="I18" s="139"/>
      <x:c r="J18" s="139"/>
    </x:row>
    <x:row r="19" ht="16" customHeight="1">
      <x:c r="A19" s="223" t="str">
        <x:v>Fiscal year</x:v>
      </x:c>
      <x:c r="B19" s="224" t="str">
        <x:v>FY2023A</x:v>
      </x:c>
      <x:c r="C19" s="224" t="str">
        <x:v>FY2024A</x:v>
      </x:c>
      <x:c r="D19" s="224" t="str">
        <x:v>FY2025A</x:v>
      </x:c>
      <x:c r="E19" s="224" t="str">
        <x:v>FY2026E</x:v>
      </x:c>
      <x:c r="F19" s="224" t="str">
        <x:v>FY2027E</x:v>
      </x:c>
      <x:c r="G19" s="224" t="str">
        <x:v>FY2028E</x:v>
      </x:c>
      <x:c r="H19" s="224" t="str">
        <x:v>FY2029E</x:v>
      </x:c>
      <x:c r="I19" s="224" t="str">
        <x:v>FY2030E</x:v>
      </x:c>
      <x:c r="J19" s="225" t="str">
        <x:v>Source / methodology</x:v>
      </x:c>
    </x:row>
    <x:row r="20" ht="16" customHeight="1">
      <x:c r="A20" s="149" t="str">
        <x:v>Revenue</x:v>
      </x:c>
      <x:c r="B20" s="226" t="n">
        <x:f>'CGNX Historical'!D7</x:f>
        <x:v>837.547</x:v>
      </x:c>
      <x:c r="C20" s="226" t="n">
        <x:f>'CGNX Historical'!E7</x:f>
        <x:v>914.515</x:v>
      </x:c>
      <x:c r="D20" s="226" t="n">
        <x:f>'CGNX Historical'!F7</x:f>
        <x:v>994.359</x:v>
      </x:c>
      <x:c r="E20" s="227" t="n">
        <x:f>D20*(1+E21)</x:f>
        <x:v>1140</x:v>
      </x:c>
      <x:c r="F20" s="227" t="n">
        <x:f>E20*(1+F21)</x:f>
        <x:v>1242.6000000000001</x:v>
      </x:c>
      <x:c r="G20" s="227" t="n">
        <x:f>F20*(1+G21)</x:f>
        <x:v>1342.0080000000003</x:v>
      </x:c>
      <x:c r="H20" s="227" t="n">
        <x:f>G20*(1+H21)</x:f>
        <x:v>1435.9485600000003</x:v>
      </x:c>
      <x:c r="I20" s="227" t="n">
        <x:f>H20*(1+I21)</x:f>
        <x:v>1529.2852164000003</x:v>
      </x:c>
      <x:c r="J20" s="189" t="str">
        <x:v>FY2026 S-022 midpoint; outer years scenario assumptions</x:v>
      </x:c>
    </x:row>
    <x:row r="21" ht="16" customHeight="1">
      <x:c r="A21" s="149" t="str">
        <x:v>% growth</x:v>
      </x:c>
      <x:c r="B21" s="200" t="n">
        <x:f>'CGNX Historical'!D8</x:f>
        <x:v>-0.16752278623184802</x:v>
      </x:c>
      <x:c r="C21" s="200" t="n">
        <x:f>'CGNX Historical'!E8</x:f>
        <x:v>0.09189693235125906</x:v>
      </x:c>
      <x:c r="D21" s="200" t="n">
        <x:f>'CGNX Historical'!F8</x:f>
        <x:v>0.08730747992105115</x:v>
      </x:c>
      <x:c r="E21" s="228" t="n">
        <x:f>B7</x:f>
        <x:v>0.14646722159702885</x:v>
      </x:c>
      <x:c r="F21" s="228" t="n">
        <x:f>C7</x:f>
        <x:v>0.09</x:v>
      </x:c>
      <x:c r="G21" s="228" t="n">
        <x:f>D7</x:f>
        <x:v>0.08</x:v>
      </x:c>
      <x:c r="H21" s="228" t="n">
        <x:f>E7</x:f>
        <x:v>0.07</x:v>
      </x:c>
      <x:c r="I21" s="228" t="n">
        <x:f>F7</x:f>
        <x:v>0.065</x:v>
      </x:c>
      <x:c r="J21" s="189" t="str">
        <x:v>Active selected case</x:v>
      </x:c>
    </x:row>
    <x:row r="22" ht="16" customHeight="1">
      <x:c r="A22" s="149" t="str">
        <x:v>Cost of goods sold</x:v>
      </x:c>
      <x:c r="B22" s="226" t="n">
        <x:f>'CGNX Historical'!D9</x:f>
        <x:v>236.306</x:v>
      </x:c>
      <x:c r="C22" s="226" t="n">
        <x:f>'CGNX Historical'!E9</x:f>
        <x:v>288.721</x:v>
      </x:c>
      <x:c r="D22" s="226" t="n">
        <x:f>'CGNX Historical'!F9</x:f>
        <x:v>328.966</x:v>
      </x:c>
      <x:c r="E22" s="227" t="n">
        <x:f>E20*(1-E24)</x:f>
        <x:v>336.30000000000007</x:v>
      </x:c>
      <x:c r="F22" s="227" t="n">
        <x:f>F20*(1-F24)</x:f>
        <x:v>364.0818000000001</x:v>
      </x:c>
      <x:c r="G22" s="227" t="n">
        <x:f>G20*(1-G24)</x:f>
        <x:v>389.1823200000001</x:v>
      </x:c>
      <x:c r="H22" s="227" t="n">
        <x:f>H20*(1-H24)</x:f>
        <x:v>413.55318528000015</x:v>
      </x:c>
      <x:c r="I22" s="227" t="n">
        <x:f>I20*(1-I24)</x:f>
        <x:v>438.90485710680014</x:v>
      </x:c>
      <x:c r="J22" s="189" t="str">
        <x:v>Revenue less gross profit</x:v>
      </x:c>
    </x:row>
    <x:row r="23" ht="16" customHeight="1">
      <x:c r="A23" s="149" t="str">
        <x:v>Gross profit</x:v>
      </x:c>
      <x:c r="B23" s="226" t="n">
        <x:f>'CGNX Historical'!D10</x:f>
        <x:v>601.241</x:v>
      </x:c>
      <x:c r="C23" s="226" t="n">
        <x:f>'CGNX Historical'!E10</x:f>
        <x:v>625.794</x:v>
      </x:c>
      <x:c r="D23" s="226" t="n">
        <x:f>'CGNX Historical'!F10</x:f>
        <x:v>665.393</x:v>
      </x:c>
      <x:c r="E23" s="227" t="n">
        <x:f>E20-E22</x:f>
        <x:v>803.6999999999999</x:v>
      </x:c>
      <x:c r="F23" s="227" t="n">
        <x:f>F20-F22</x:f>
        <x:v>878.5182</x:v>
      </x:c>
      <x:c r="G23" s="227" t="n">
        <x:f>G20-G22</x:f>
        <x:v>952.8256800000001</x:v>
      </x:c>
      <x:c r="H23" s="227" t="n">
        <x:f>H20-H22</x:f>
        <x:v>1022.3953747200001</x:v>
      </x:c>
      <x:c r="I23" s="227" t="n">
        <x:f>I20-I22</x:f>
        <x:v>1090.3803592932002</x:v>
      </x:c>
      <x:c r="J23" s="189" t="str">
        <x:v>Revenue less COGS</x:v>
      </x:c>
    </x:row>
    <x:row r="24" ht="16" customHeight="1">
      <x:c r="A24" s="149" t="str">
        <x:v>Gross margin</x:v>
      </x:c>
      <x:c r="B24" s="200" t="n">
        <x:f>'CGNX Historical'!D13</x:f>
        <x:v>0.7178594156507038</x:v>
      </x:c>
      <x:c r="C24" s="200" t="n">
        <x:f>'CGNX Historical'!E13</x:f>
        <x:v>0.6842905802529209</x:v>
      </x:c>
      <x:c r="D24" s="200" t="n">
        <x:f>'CGNX Historical'!F13</x:f>
        <x:v>0.6691677754211507</x:v>
      </x:c>
      <x:c r="E24" s="228" t="n">
        <x:f>B8</x:f>
        <x:v>0.705</x:v>
      </x:c>
      <x:c r="F24" s="228" t="n">
        <x:f>C8</x:f>
        <x:v>0.707</x:v>
      </x:c>
      <x:c r="G24" s="228" t="n">
        <x:f>D8</x:f>
        <x:v>0.71</x:v>
      </x:c>
      <x:c r="H24" s="228" t="n">
        <x:f>E8</x:f>
        <x:v>0.712</x:v>
      </x:c>
      <x:c r="I24" s="228" t="n">
        <x:f>F8</x:f>
        <x:v>0.713</x:v>
      </x:c>
      <x:c r="J24" s="189" t="str">
        <x:v>Active selected case</x:v>
      </x:c>
    </x:row>
    <x:row r="25" ht="16" customHeight="1">
      <x:c r="A25" s="149" t="str">
        <x:v>R&amp;D expense</x:v>
      </x:c>
      <x:c r="B25" s="226" t="n">
        <x:f>'CGNX Historical'!D15</x:f>
        <x:v>139.4</x:v>
      </x:c>
      <x:c r="C25" s="226" t="n">
        <x:f>'CGNX Historical'!E15</x:f>
        <x:v>139.815</x:v>
      </x:c>
      <x:c r="D25" s="226" t="n">
        <x:f>'CGNX Historical'!F15</x:f>
        <x:v>138.97</x:v>
      </x:c>
      <x:c r="E25" s="227" t="n">
        <x:f>E20*E26</x:f>
        <x:v>153.9</x:v>
      </x:c>
      <x:c r="F25" s="227" t="n">
        <x:f>F20*F26</x:f>
        <x:v>166.50840000000002</x:v>
      </x:c>
      <x:c r="G25" s="227" t="n">
        <x:f>G20*G26</x:f>
        <x:v>178.48706400000003</x:v>
      </x:c>
      <x:c r="H25" s="227" t="n">
        <x:f>H20*H26</x:f>
        <x:v>189.54520992000005</x:v>
      </x:c>
      <x:c r="I25" s="227" t="n">
        <x:f>I20*I26</x:f>
        <x:v>201.86564856480004</x:v>
      </x:c>
      <x:c r="J25" s="189" t="str">
        <x:v>Revenue × R&amp;D %</x:v>
      </x:c>
    </x:row>
    <x:row r="26" ht="16" customHeight="1">
      <x:c r="A26" s="149" t="str">
        <x:v>% revenue</x:v>
      </x:c>
      <x:c r="B26" s="200" t="n">
        <x:f>'CGNX Historical'!D16</x:f>
        <x:v>0.1664384207692225</x:v>
      </x:c>
      <x:c r="C26" s="200" t="n">
        <x:f>'CGNX Historical'!E16</x:f>
        <x:v>0.15288431573019579</x:v>
      </x:c>
      <x:c r="D26" s="200" t="n">
        <x:f>'CGNX Historical'!F16</x:f>
        <x:v>0.1397583770046834</x:v>
      </x:c>
      <x:c r="E26" s="228" t="n">
        <x:f>B9</x:f>
        <x:v>0.135</x:v>
      </x:c>
      <x:c r="F26" s="228" t="n">
        <x:f>C9</x:f>
        <x:v>0.134</x:v>
      </x:c>
      <x:c r="G26" s="228" t="n">
        <x:f>D9</x:f>
        <x:v>0.133</x:v>
      </x:c>
      <x:c r="H26" s="228" t="n">
        <x:f>E9</x:f>
        <x:v>0.132</x:v>
      </x:c>
      <x:c r="I26" s="228" t="n">
        <x:f>F9</x:f>
        <x:v>0.132</x:v>
      </x:c>
      <x:c r="J26" s="189" t="str">
        <x:v>Active selected case</x:v>
      </x:c>
    </x:row>
    <x:row r="27" ht="16" customHeight="1">
      <x:c r="A27" s="149" t="str">
        <x:v>SG&amp;A expense</x:v>
      </x:c>
      <x:c r="B27" s="226" t="n">
        <x:f>'CGNX Historical'!D17</x:f>
        <x:v>339.139</x:v>
      </x:c>
      <x:c r="C27" s="226" t="n">
        <x:f>'CGNX Historical'!E17</x:f>
        <x:v>370.914</x:v>
      </x:c>
      <x:c r="D27" s="226" t="n">
        <x:f>'CGNX Historical'!F17</x:f>
        <x:v>363.857</x:v>
      </x:c>
      <x:c r="E27" s="227" t="n">
        <x:f>E20*E28</x:f>
        <x:v>353.4</x:v>
      </x:c>
      <x:c r="F27" s="227" t="n">
        <x:f>F20*F28</x:f>
        <x:v>378.99300000000005</x:v>
      </x:c>
      <x:c r="G27" s="227" t="n">
        <x:f>G20*G28</x:f>
        <x:v>402.60240000000005</x:v>
      </x:c>
      <x:c r="H27" s="227" t="n">
        <x:f>H20*H28</x:f>
        <x:v>423.60482520000005</x:v>
      </x:c>
      <x:c r="I27" s="227" t="n">
        <x:f>I20*I28</x:f>
        <x:v>446.5512831888001</x:v>
      </x:c>
      <x:c r="J27" s="189" t="str">
        <x:v>Revenue × SG&amp;A %</x:v>
      </x:c>
    </x:row>
    <x:row r="28" ht="16" customHeight="1">
      <x:c r="A28" s="149" t="str">
        <x:v>% revenue</x:v>
      </x:c>
      <x:c r="B28" s="200" t="n">
        <x:f>'CGNX Historical'!D18</x:f>
        <x:v>0.4049193657191775</x:v>
      </x:c>
      <x:c r="C28" s="200" t="n">
        <x:f>'CGNX Historical'!E18</x:f>
        <x:v>0.4055854742677813</x:v>
      </x:c>
      <x:c r="D28" s="200" t="n">
        <x:f>'CGNX Historical'!F18</x:f>
        <x:v>0.3659211612707282</x:v>
      </x:c>
      <x:c r="E28" s="228" t="n">
        <x:f>B10</x:f>
        <x:v>0.31</x:v>
      </x:c>
      <x:c r="F28" s="228" t="n">
        <x:f>C10</x:f>
        <x:v>0.305</x:v>
      </x:c>
      <x:c r="G28" s="228" t="n">
        <x:f>D10</x:f>
        <x:v>0.3</x:v>
      </x:c>
      <x:c r="H28" s="228" t="n">
        <x:f>E10</x:f>
        <x:v>0.295</x:v>
      </x:c>
      <x:c r="I28" s="228" t="n">
        <x:f>F10</x:f>
        <x:v>0.292</x:v>
      </x:c>
      <x:c r="J28" s="189" t="str">
        <x:v>Active selected case</x:v>
      </x:c>
    </x:row>
    <x:row r="29" ht="16" customHeight="1">
      <x:c r="A29" s="240" t="str">
        <x:v>Operating income</x:v>
      </x:c>
      <x:c r="B29" s="241" t="n">
        <x:f>'CGNX Historical'!D19</x:f>
        <x:v>130.702</x:v>
      </x:c>
      <x:c r="C29" s="241" t="n">
        <x:f>'CGNX Historical'!E19</x:f>
        <x:v>115.065</x:v>
      </x:c>
      <x:c r="D29" s="241" t="n">
        <x:f>'CGNX Historical'!F19</x:f>
        <x:v>162.566</x:v>
      </x:c>
      <x:c r="E29" s="241" t="n">
        <x:f>E23-E25-E27</x:f>
        <x:v>296.4</x:v>
      </x:c>
      <x:c r="F29" s="241" t="n">
        <x:f>F23-F25-F27</x:f>
        <x:v>333.0167999999999</x:v>
      </x:c>
      <x:c r="G29" s="241" t="n">
        <x:f>G23-G25-G27</x:f>
        <x:v>371.73621600000007</x:v>
      </x:c>
      <x:c r="H29" s="241" t="n">
        <x:f>H23-H25-H27</x:f>
        <x:v>409.24533959999997</x:v>
      </x:c>
      <x:c r="I29" s="241" t="n">
        <x:f>I23-I25-I27</x:f>
        <x:v>441.96342753960005</x:v>
      </x:c>
      <x:c r="J29" s="189" t="str">
        <x:v>Gross profit less R&amp;D and SG&amp;A</x:v>
      </x:c>
    </x:row>
    <x:row r="30" ht="16" customHeight="1">
      <x:c r="A30" s="240" t="str">
        <x:v>Operating margin</x:v>
      </x:c>
      <x:c r="B30" s="242" t="n">
        <x:f>'CGNX Historical'!D20</x:f>
        <x:v>0.1560533319324169</x:v>
      </x:c>
      <x:c r="C30" s="242" t="n">
        <x:f>'CGNX Historical'!E20</x:f>
        <x:v>0.1258207902549439</x:v>
      </x:c>
      <x:c r="D30" s="242" t="n">
        <x:f>'CGNX Historical'!F20</x:f>
        <x:v>0.16348823714573912</x:v>
      </x:c>
      <x:c r="E30" s="242" t="n">
        <x:f>E29/E20</x:f>
        <x:v>0.25999999999999995</x:v>
      </x:c>
      <x:c r="F30" s="242" t="n">
        <x:f>F29/F20</x:f>
        <x:v>0.26799999999999985</x:v>
      </x:c>
      <x:c r="G30" s="242" t="n">
        <x:f>G29/G20</x:f>
        <x:v>0.277</x:v>
      </x:c>
      <x:c r="H30" s="242" t="n">
        <x:f>H29/H20</x:f>
        <x:v>0.2849999999999999</x:v>
      </x:c>
      <x:c r="I30" s="242" t="n">
        <x:f>I29/I20</x:f>
        <x:v>0.289</x:v>
      </x:c>
      <x:c r="J30" s="189" t="str">
        <x:v>Calculated</x:v>
      </x:c>
    </x:row>
    <x:row r="31" ht="16" customHeight="1">
      <x:c r="A31" s="149" t="str">
        <x:v>Depreciation &amp; amortization</x:v>
      </x:c>
      <x:c r="B31" s="226" t="n">
        <x:f>'CGNX Historical'!D37</x:f>
        <x:v>21.88</x:v>
      </x:c>
      <x:c r="C31" s="226" t="n">
        <x:f>'CGNX Historical'!E37</x:f>
        <x:v>32.689</x:v>
      </x:c>
      <x:c r="D31" s="226" t="n">
        <x:f>'CGNX Historical'!F37</x:f>
        <x:v>30.793</x:v>
      </x:c>
      <x:c r="E31" s="227" t="n">
        <x:f>E20*B11</x:f>
        <x:v>34.199999999999996</x:v>
      </x:c>
      <x:c r="F31" s="227" t="n">
        <x:f>F20*C11</x:f>
        <x:v>36.0354</x:v>
      </x:c>
      <x:c r="G31" s="227" t="n">
        <x:f>G20*D11</x:f>
        <x:v>37.57622400000001</x:v>
      </x:c>
      <x:c r="H31" s="227" t="n">
        <x:f>H20*E11</x:f>
        <x:v>38.770611120000005</x:v>
      </x:c>
      <x:c r="I31" s="227" t="n">
        <x:f>I20*F11</x:f>
        <x:v>39.76141562640001</x:v>
      </x:c>
      <x:c r="J31" s="189" t="str">
        <x:v>Revenue × D&amp;A %</x:v>
      </x:c>
    </x:row>
    <x:row r="32" ht="16" customHeight="1">
      <x:c r="A32" s="240" t="str">
        <x:v>EBITDA</x:v>
      </x:c>
      <x:c r="B32" s="241" t="n">
        <x:f>B29+B31</x:f>
        <x:v>152.582</x:v>
      </x:c>
      <x:c r="C32" s="241" t="n">
        <x:f>C29+C31</x:f>
        <x:v>147.754</x:v>
      </x:c>
      <x:c r="D32" s="241" t="n">
        <x:f>D29+D31</x:f>
        <x:v>193.359</x:v>
      </x:c>
      <x:c r="E32" s="241" t="n">
        <x:f>E29+E31</x:f>
        <x:v>330.59999999999997</x:v>
      </x:c>
      <x:c r="F32" s="241" t="n">
        <x:f>F29+F31</x:f>
        <x:v>369.05219999999986</x:v>
      </x:c>
      <x:c r="G32" s="241" t="n">
        <x:f>G29+G31</x:f>
        <x:v>409.3124400000001</x:v>
      </x:c>
      <x:c r="H32" s="241" t="n">
        <x:f>H29+H31</x:f>
        <x:v>448.01595072</x:v>
      </x:c>
      <x:c r="I32" s="241" t="n">
        <x:f>I29+I31</x:f>
        <x:v>481.724843166</x:v>
      </x:c>
      <x:c r="J32" s="189" t="str">
        <x:v>Operating income + D&amp;A</x:v>
      </x:c>
    </x:row>
    <x:row r="33" ht="16" customHeight="1">
      <x:c r="A33" s="240" t="str">
        <x:v>EBITDA margin</x:v>
      </x:c>
      <x:c r="B33" s="242" t="n">
        <x:f>B32/B20</x:f>
        <x:v>0.18217723900867652</x:v>
      </x:c>
      <x:c r="C33" s="242" t="n">
        <x:f>C32/C20</x:f>
        <x:v>0.16156541992203516</x:v>
      </x:c>
      <x:c r="D33" s="242" t="n">
        <x:f>D32/D20</x:f>
        <x:v>0.1944559258778771</x:v>
      </x:c>
      <x:c r="E33" s="242" t="n">
        <x:f>E32/E20</x:f>
        <x:v>0.29</x:v>
      </x:c>
      <x:c r="F33" s="242" t="n">
        <x:f>F32/F20</x:f>
        <x:v>0.2969999999999999</x:v>
      </x:c>
      <x:c r="G33" s="242" t="n">
        <x:f>G32/G20</x:f>
        <x:v>0.305</x:v>
      </x:c>
      <x:c r="H33" s="242" t="n">
        <x:f>H32/H20</x:f>
        <x:v>0.31199999999999994</x:v>
      </x:c>
      <x:c r="I33" s="242" t="n">
        <x:f>I32/I20</x:f>
        <x:v>0.31499999999999995</x:v>
      </x:c>
      <x:c r="J33" s="189" t="str">
        <x:v>Calculated</x:v>
      </x:c>
    </x:row>
    <x:row r="34" ht="16" customHeight="1">
      <x:c r="A34" s="149" t="str">
        <x:v>Net interest and other income</x:v>
      </x:c>
      <x:c r="B34" s="226" t="n">
        <x:f>'CGNX Historical'!D21</x:f>
        <x:v>4.646000000000015</x:v>
      </x:c>
      <x:c r="C34" s="226" t="n">
        <x:f>'CGNX Historical'!E21</x:f>
        <x:v>16.424000000000007</x:v>
      </x:c>
      <x:c r="D34" s="226" t="n">
        <x:f>'CGNX Historical'!F21</x:f>
        <x:v>20.23599999999999</x:v>
      </x:c>
      <x:c r="E34" s="227" t="n">
        <x:f>E20*B13</x:f>
        <x:v>17.099999999999998</x:v>
      </x:c>
      <x:c r="F34" s="227" t="n">
        <x:f>F20*C13</x:f>
        <x:v>16.1538</x:v>
      </x:c>
      <x:c r="G34" s="227" t="n">
        <x:f>G20*D13</x:f>
        <x:v>14.762088000000002</x:v>
      </x:c>
      <x:c r="H34" s="227" t="n">
        <x:f>H20*E13</x:f>
        <x:v>14.359485600000003</x:v>
      </x:c>
      <x:c r="I34" s="227" t="n">
        <x:f>I20*F13</x:f>
        <x:v>13.763566947600001</x:v>
      </x:c>
      <x:c r="J34" s="189" t="str">
        <x:v>Revenue × active assumption</x:v>
      </x:c>
    </x:row>
    <x:row r="35" ht="16" customHeight="1">
      <x:c r="A35" s="149" t="str">
        <x:v>Income before taxes</x:v>
      </x:c>
      <x:c r="B35" s="226" t="n">
        <x:f>'CGNX Historical'!D22</x:f>
        <x:v>135.348</x:v>
      </x:c>
      <x:c r="C35" s="226" t="n">
        <x:f>'CGNX Historical'!E22</x:f>
        <x:v>131.489</x:v>
      </x:c>
      <x:c r="D35" s="226" t="n">
        <x:f>'CGNX Historical'!F22</x:f>
        <x:v>182.802</x:v>
      </x:c>
      <x:c r="E35" s="227" t="n">
        <x:f>E29+E34</x:f>
        <x:v>313.5</x:v>
      </x:c>
      <x:c r="F35" s="227" t="n">
        <x:f>F29+F34</x:f>
        <x:v>349.17059999999987</x:v>
      </x:c>
      <x:c r="G35" s="227" t="n">
        <x:f>G29+G34</x:f>
        <x:v>386.4983040000001</x:v>
      </x:c>
      <x:c r="H35" s="227" t="n">
        <x:f>H29+H34</x:f>
        <x:v>423.6048252</x:v>
      </x:c>
      <x:c r="I35" s="227" t="n">
        <x:f>I29+I34</x:f>
        <x:v>455.72699448720005</x:v>
      </x:c>
      <x:c r="J35" s="189" t="str">
        <x:v>Operating income + net interest/other</x:v>
      </x:c>
    </x:row>
    <x:row r="36" ht="16" customHeight="1">
      <x:c r="A36" s="149" t="str">
        <x:v>Income tax expense</x:v>
      </x:c>
      <x:c r="B36" s="226" t="n">
        <x:f>'CGNX Historical'!D23</x:f>
        <x:v>22.114</x:v>
      </x:c>
      <x:c r="C36" s="226" t="n">
        <x:f>'CGNX Historical'!E23</x:f>
        <x:v>25.318</x:v>
      </x:c>
      <x:c r="D36" s="226" t="n">
        <x:f>'CGNX Historical'!F23</x:f>
        <x:v>68.36</x:v>
      </x:c>
      <x:c r="E36" s="227" t="n">
        <x:f>E35*B12</x:f>
        <x:v>62.7</x:v>
      </x:c>
      <x:c r="F36" s="227" t="n">
        <x:f>F35*C12</x:f>
        <x:v>69.83411999999997</x:v>
      </x:c>
      <x:c r="G36" s="227" t="n">
        <x:f>G35*D12</x:f>
        <x:v>77.29966080000003</x:v>
      </x:c>
      <x:c r="H36" s="227" t="n">
        <x:f>H35*E12</x:f>
        <x:v>84.72096504000001</x:v>
      </x:c>
      <x:c r="I36" s="227" t="n">
        <x:f>I35*F12</x:f>
        <x:v>91.14539889744002</x:v>
      </x:c>
      <x:c r="J36" s="189" t="str">
        <x:v>Pretax income × normalized tax rate</x:v>
      </x:c>
    </x:row>
    <x:row r="37" ht="16" customHeight="1">
      <x:c r="A37" s="149" t="str">
        <x:v>Net income</x:v>
      </x:c>
      <x:c r="B37" s="226" t="n">
        <x:f>'CGNX Historical'!D25</x:f>
        <x:v>113.234</x:v>
      </x:c>
      <x:c r="C37" s="226" t="n">
        <x:f>'CGNX Historical'!E25</x:f>
        <x:v>106.171</x:v>
      </x:c>
      <x:c r="D37" s="226" t="n">
        <x:f>'CGNX Historical'!F25</x:f>
        <x:v>114.442</x:v>
      </x:c>
      <x:c r="E37" s="227" t="n">
        <x:f>E35-E36</x:f>
        <x:v>250.8</x:v>
      </x:c>
      <x:c r="F37" s="227" t="n">
        <x:f>F35-F36</x:f>
        <x:v>279.3364799999999</x:v>
      </x:c>
      <x:c r="G37" s="227" t="n">
        <x:f>G35-G36</x:f>
        <x:v>309.19864320000005</x:v>
      </x:c>
      <x:c r="H37" s="227" t="n">
        <x:f>H35-H36</x:f>
        <x:v>338.88386016</x:v>
      </x:c>
      <x:c r="I37" s="227" t="n">
        <x:f>I35-I36</x:f>
        <x:v>364.58159558976</x:v>
      </x:c>
      <x:c r="J37" s="189" t="str">
        <x:v>Pretax income less tax</x:v>
      </x:c>
    </x:row>
    <x:row r="38" ht="16" customHeight="1">
      <x:c r="A38" s="149" t="str">
        <x:v>Net income margin</x:v>
      </x:c>
      <x:c r="B38" s="200" t="n">
        <x:f>'CGNX Historical'!D26</x:f>
        <x:v>0.13519718893387475</x:v>
      </x:c>
      <x:c r="C38" s="200" t="n">
        <x:f>'CGNX Historical'!E26</x:f>
        <x:v>0.11609541669628165</x:v>
      </x:c>
      <x:c r="D38" s="200" t="n">
        <x:f>'CGNX Historical'!F26</x:f>
        <x:v>0.11509122962632207</x:v>
      </x:c>
      <x:c r="E38" s="228" t="n">
        <x:f>E37/E20</x:f>
        <x:v>0.22</x:v>
      </x:c>
      <x:c r="F38" s="228" t="n">
        <x:f>F37/F20</x:f>
        <x:v>0.2247999999999999</x:v>
      </x:c>
      <x:c r="G38" s="228" t="n">
        <x:f>G37/G20</x:f>
        <x:v>0.2304</x:v>
      </x:c>
      <x:c r="H38" s="228" t="n">
        <x:f>H37/H20</x:f>
        <x:v>0.23599999999999993</x:v>
      </x:c>
      <x:c r="I38" s="228" t="n">
        <x:f>I37/I20</x:f>
        <x:v>0.23839999999999997</x:v>
      </x:c>
      <x:c r="J38" s="189" t="str">
        <x:v>Calculated</x:v>
      </x:c>
    </x:row>
    <x:row r="39" ht="16" customHeight="1">
      <x:c r="A39" s="149" t="str">
        <x:v>Diluted weighted average shares</x:v>
      </x:c>
      <x:c r="B39" s="229" t="n">
        <x:f>'CGNX Historical'!D27</x:f>
        <x:v>173.399</x:v>
      </x:c>
      <x:c r="C39" s="229" t="n">
        <x:f>'CGNX Historical'!E27</x:f>
        <x:v>172.611</x:v>
      </x:c>
      <x:c r="D39" s="229" t="n">
        <x:f>'CGNX Historical'!F27</x:f>
        <x:v>169.367</x:v>
      </x:c>
      <x:c r="E39" s="230" t="n">
        <x:f>D39*(1+B16)</x:f>
        <x:v>167.67333</x:v>
      </x:c>
      <x:c r="F39" s="230" t="n">
        <x:f>E39*(1+C16)</x:f>
        <x:v>165.9965967</x:v>
      </x:c>
      <x:c r="G39" s="230" t="n">
        <x:f>F39*(1+D16)</x:f>
        <x:v>164.336630733</x:v>
      </x:c>
      <x:c r="H39" s="230" t="n">
        <x:f>G39*(1+E16)</x:f>
        <x:v>162.69326442566998</x:v>
      </x:c>
      <x:c r="I39" s="230" t="n">
        <x:f>H39*(1+F16)</x:f>
        <x:v>161.06633178141328</x:v>
      </x:c>
      <x:c r="J39" s="189" t="str">
        <x:v>Prior year shares × (1 + change)</x:v>
      </x:c>
    </x:row>
    <x:row r="40" ht="16" customHeight="1">
      <x:c r="A40" s="149" t="str">
        <x:v>Diluted EPS</x:v>
      </x:c>
      <x:c r="B40" s="231" t="n">
        <x:f>'CGNX Historical'!D28</x:f>
        <x:v>0.6530256806555977</x:v>
      </x:c>
      <x:c r="C40" s="231" t="n">
        <x:f>'CGNX Historical'!E28</x:f>
        <x:v>0.615088262045872</x:v>
      </x:c>
      <x:c r="D40" s="231" t="n">
        <x:f>'CGNX Historical'!F28</x:f>
        <x:v>0.6757042399050582</x:v>
      </x:c>
      <x:c r="E40" s="232" t="n">
        <x:f>E37/E39</x:f>
        <x:v>1.4957656056571431</x:v>
      </x:c>
      <x:c r="F40" s="232" t="n">
        <x:f>F37/F39</x:f>
        <x:v>1.6827843796390307</x:v>
      </x:c>
      <x:c r="G40" s="232" t="n">
        <x:f>G37/G39</x:f>
        <x:v>1.881495572964249</x:v>
      </x:c>
      <x:c r="H40" s="232" t="n">
        <x:f>H37/H39</x:f>
        <x:v>2.082961832232622</x:v>
      </x:c>
      <x:c r="I40" s="232" t="n">
        <x:f>I37/I39</x:f>
        <x:v>2.2635493809130875</x:v>
      </x:c>
      <x:c r="J40" s="189" t="str">
        <x:v>Calculated</x:v>
      </x:c>
    </x:row>
    <x:row r="41" ht="16" customHeight="1">
      <x:c r="A41" s="149"/>
      <x:c r="B41" s="195"/>
      <x:c r="C41" s="195"/>
      <x:c r="D41" s="195"/>
      <x:c r="E41" s="150"/>
      <x:c r="F41" s="150"/>
      <x:c r="G41" s="150"/>
      <x:c r="H41" s="150"/>
      <x:c r="I41" s="150"/>
      <x:c r="J41" s="189"/>
    </x:row>
    <x:row r="42" ht="16" customHeight="1">
      <x:c r="A42" s="239" t="str">
        <x:v>UNLEVERED FREE CASH FLOW</x:v>
      </x:c>
      <x:c r="B42" s="234"/>
      <x:c r="C42" s="234"/>
      <x:c r="D42" s="234"/>
      <x:c r="E42" s="235"/>
      <x:c r="F42" s="235"/>
      <x:c r="G42" s="235"/>
      <x:c r="H42" s="235"/>
      <x:c r="I42" s="235"/>
      <x:c r="J42" s="236"/>
    </x:row>
    <x:row r="43" ht="16" customHeight="1">
      <x:c r="A43" s="149" t="str">
        <x:v>NOPAT</x:v>
      </x:c>
      <x:c r="B43" s="226" t="n">
        <x:f>B29*(1-'CGNX Historical'!D24)</x:f>
        <x:v>109.3470924431835</x:v>
      </x:c>
      <x:c r="C43" s="226" t="n">
        <x:f>C29*(1-'CGNX Historical'!E24)</x:f>
        <x:v>92.90941535033349</x:v>
      </x:c>
      <x:c r="D43" s="226" t="n">
        <x:f>D29*(1-'CGNX Historical'!F24)</x:f>
        <x:v>101.77338416428705</x:v>
      </x:c>
      <x:c r="E43" s="227" t="n">
        <x:f>E29*(1-B12)</x:f>
        <x:v>237.12</x:v>
      </x:c>
      <x:c r="F43" s="227" t="n">
        <x:f>F29*(1-C12)</x:f>
        <x:v>266.4134399999999</x:v>
      </x:c>
      <x:c r="G43" s="227" t="n">
        <x:f>G29*(1-D12)</x:f>
        <x:v>297.3889728000001</x:v>
      </x:c>
      <x:c r="H43" s="227" t="n">
        <x:f>H29*(1-E12)</x:f>
        <x:v>327.39627168</x:v>
      </x:c>
      <x:c r="I43" s="227" t="n">
        <x:f>I29*(1-F12)</x:f>
        <x:v>353.5707420316801</x:v>
      </x:c>
      <x:c r="J43" s="189" t="str">
        <x:v>Operating income × (1 − tax rate)</x:v>
      </x:c>
    </x:row>
    <x:row r="44" ht="16" customHeight="1">
      <x:c r="A44" s="149" t="str">
        <x:v>Depreciation &amp; amortization</x:v>
      </x:c>
      <x:c r="B44" s="226" t="n">
        <x:f>'CGNX Historical'!D37</x:f>
        <x:v>21.88</x:v>
      </x:c>
      <x:c r="C44" s="226" t="n">
        <x:f>'CGNX Historical'!E37</x:f>
        <x:v>32.689</x:v>
      </x:c>
      <x:c r="D44" s="226" t="n">
        <x:f>'CGNX Historical'!F37</x:f>
        <x:v>30.793</x:v>
      </x:c>
      <x:c r="E44" s="227" t="n">
        <x:f>E31</x:f>
        <x:v>34.199999999999996</x:v>
      </x:c>
      <x:c r="F44" s="227" t="n">
        <x:f>F31</x:f>
        <x:v>36.0354</x:v>
      </x:c>
      <x:c r="G44" s="227" t="n">
        <x:f>G31</x:f>
        <x:v>37.57622400000001</x:v>
      </x:c>
      <x:c r="H44" s="227" t="n">
        <x:f>H31</x:f>
        <x:v>38.770611120000005</x:v>
      </x:c>
      <x:c r="I44" s="227" t="n">
        <x:f>I31</x:f>
        <x:v>39.76141562640001</x:v>
      </x:c>
      <x:c r="J44" s="189" t="str">
        <x:v>Linked / calculated above</x:v>
      </x:c>
    </x:row>
    <x:row r="45" ht="16" customHeight="1">
      <x:c r="A45" s="149" t="str">
        <x:v>Capital expenditures</x:v>
      </x:c>
      <x:c r="B45" s="226" t="n">
        <x:f>'CGNX Historical'!D40</x:f>
        <x:v>-23.077</x:v>
      </x:c>
      <x:c r="C45" s="226" t="n">
        <x:f>'CGNX Historical'!E40</x:f>
        <x:v>-15.043</x:v>
      </x:c>
      <x:c r="D45" s="226" t="n">
        <x:f>'CGNX Historical'!F40</x:f>
        <x:v>-8.743</x:v>
      </x:c>
      <x:c r="E45" s="227" t="n">
        <x:f>-E20*B14</x:f>
        <x:v>-17.099999999999998</x:v>
      </x:c>
      <x:c r="F45" s="227" t="n">
        <x:f>-F20*C14</x:f>
        <x:v>-19.881600000000002</x:v>
      </x:c>
      <x:c r="G45" s="227" t="n">
        <x:f>-G20*D14</x:f>
        <x:v>-22.814136000000005</x:v>
      </x:c>
      <x:c r="H45" s="227" t="n">
        <x:f>-H20*E14</x:f>
        <x:v>-25.847074080000002</x:v>
      </x:c>
      <x:c r="I45" s="227" t="n">
        <x:f>-I20*F14</x:f>
        <x:v>-27.527133895200002</x:v>
      </x:c>
      <x:c r="J45" s="189" t="str">
        <x:v>Revenue × capex %; cash outflow shown negative</x:v>
      </x:c>
    </x:row>
    <x:row r="46" ht="16" customHeight="1">
      <x:c r="A46" s="149" t="str">
        <x:v>Operating NWC</x:v>
      </x:c>
      <x:c r="B46" s="226" t="n">
        <x:f>'CGNX Historical'!D61</x:f>
        <x:v>254.995</x:v>
      </x:c>
      <x:c r="C46" s="226" t="n">
        <x:f>'CGNX Historical'!E61</x:f>
        <x:v>262.84</x:v>
      </x:c>
      <x:c r="D46" s="226" t="n">
        <x:f>'CGNX Historical'!F61</x:f>
        <x:v>234.39899999999997</x:v>
      </x:c>
      <x:c r="E46" s="227" t="n">
        <x:f>E20*B15</x:f>
        <x:v>262.2</x:v>
      </x:c>
      <x:c r="F46" s="227" t="n">
        <x:f>F20*C15</x:f>
        <x:v>283.31280000000004</x:v>
      </x:c>
      <x:c r="G46" s="227" t="n">
        <x:f>G20*D15</x:f>
        <x:v>301.95180000000005</x:v>
      </x:c>
      <x:c r="H46" s="227" t="n">
        <x:f>H20*E15</x:f>
        <x:v>320.21652888000006</x:v>
      </x:c>
      <x:c r="I46" s="227" t="n">
        <x:f>I20*F15</x:f>
        <x:v>336.44274760800005</x:v>
      </x:c>
      <x:c r="J46" s="189" t="str">
        <x:v>Revenue × operating NWC %</x:v>
      </x:c>
    </x:row>
    <x:row r="47" ht="16" customHeight="1">
      <x:c r="A47" s="149" t="str">
        <x:v>Change in operating NWC</x:v>
      </x:c>
      <x:c r="B47" s="226" t="n">
        <x:f>'CGNX Historical'!D61-'CGNX Historical'!C61</x:f>
        <x:v>34.20100000000002</x:v>
      </x:c>
      <x:c r="C47" s="226" t="n">
        <x:f>'CGNX Historical'!E61-'CGNX Historical'!D61</x:f>
        <x:v>7.84499999999997</x:v>
      </x:c>
      <x:c r="D47" s="226" t="n">
        <x:f>'CGNX Historical'!F61-'CGNX Historical'!E61</x:f>
        <x:v>-28.441000000000003</x:v>
      </x:c>
      <x:c r="E47" s="227" t="n">
        <x:f>E46-D46</x:f>
        <x:v>27.801000000000016</x:v>
      </x:c>
      <x:c r="F47" s="227" t="n">
        <x:f>F46-E46</x:f>
        <x:v>21.11280000000005</x:v>
      </x:c>
      <x:c r="G47" s="227" t="n">
        <x:f>G46-F46</x:f>
        <x:v>18.63900000000001</x:v>
      </x:c>
      <x:c r="H47" s="227" t="n">
        <x:f>H46-G46</x:f>
        <x:v>18.264728880000007</x:v>
      </x:c>
      <x:c r="I47" s="227" t="n">
        <x:f>I46-H46</x:f>
        <x:v>16.226218727999992</x:v>
      </x:c>
      <x:c r="J47" s="189" t="str">
        <x:v>Current less prior year</x:v>
      </x:c>
    </x:row>
    <x:row r="48" ht="16" customHeight="1">
      <x:c r="A48" s="240" t="str">
        <x:v>Unlevered free cash flow</x:v>
      </x:c>
      <x:c r="B48" s="241" t="n">
        <x:f>B43+B44+B45-B47</x:f>
        <x:v>73.94909244318347</x:v>
      </x:c>
      <x:c r="C48" s="241" t="n">
        <x:f>C43+C44+C45-C47</x:f>
        <x:v>102.7104153503335</x:v>
      </x:c>
      <x:c r="D48" s="241" t="n">
        <x:f>D43+D44+D45-D47</x:f>
        <x:v>152.26438416428707</x:v>
      </x:c>
      <x:c r="E48" s="241" t="n">
        <x:f>E43+E44+E45-E47</x:f>
        <x:v>226.41899999999998</x:v>
      </x:c>
      <x:c r="F48" s="241" t="n">
        <x:f>F43+F44+F45-F47</x:f>
        <x:v>261.45443999999986</x:v>
      </x:c>
      <x:c r="G48" s="241" t="n">
        <x:f>G43+G44+G45-G47</x:f>
        <x:v>293.5120608000001</x:v>
      </x:c>
      <x:c r="H48" s="241" t="n">
        <x:f>H43+H44+H45-H47</x:f>
        <x:v>322.05507983999996</x:v>
      </x:c>
      <x:c r="I48" s="241" t="n">
        <x:f>I43+I44+I45-I47</x:f>
        <x:v>349.5788050348801</x:v>
      </x:c>
      <x:c r="J48" s="189" t="str">
        <x:v>NOPAT + D&amp;A + capex − change in NWC</x:v>
      </x:c>
    </x:row>
    <x:row r="49" ht="16" customHeight="1">
      <x:c r="A49" s="243" t="str">
        <x:v>UFCF margin</x:v>
      </x:c>
      <x:c r="B49" s="244" t="n">
        <x:f>B48/B20</x:f>
        <x:v>0.08829246889211408</x:v>
      </x:c>
      <x:c r="C49" s="244" t="n">
        <x:f>C48/C20</x:f>
        <x:v>0.11231135120838205</x:v>
      </x:c>
      <x:c r="D49" s="244" t="n">
        <x:f>D48/D20</x:f>
        <x:v>0.1531281802289586</x:v>
      </x:c>
      <x:c r="E49" s="244" t="n">
        <x:f>E48/E20</x:f>
        <x:v>0.19861315789473682</x:v>
      </x:c>
      <x:c r="F49" s="244" t="n">
        <x:f>F48/F20</x:f>
        <x:v>0.21040917431192646</x:v>
      </x:c>
      <x:c r="G49" s="244" t="n">
        <x:f>G48/G20</x:f>
        <x:v>0.21871111111111113</x:v>
      </x:c>
      <x:c r="H49" s="244" t="n">
        <x:f>H48/H20</x:f>
        <x:v>0.22428037383177563</x:v>
      </x:c>
      <x:c r="I49" s="244" t="n">
        <x:f>I48/I20</x:f>
        <x:v>0.22858967136150235</x:v>
      </x:c>
      <x:c r="J49" s="192" t="str">
        <x:v>Calculated</x:v>
      </x:c>
    </x:row>
    <x:row r="50" ht="16" customHeight="1"/>
    <x:row r="51" ht="16" customHeight="1">
      <x:c r="A51" s="208" t="str">
        <x:v>Analyst note: FY2026 is anchored to management guidance. FY2027E–FY2030E are independent scenario assumptions. Stock-based compensation is not added back to UFCF, avoiding an aggressive cash-flow benefit unless dilution is separately captured in valuation.</x:v>
      </x:c>
      <x:c r="B51" s="208"/>
      <x:c r="C51" s="208"/>
      <x:c r="D51" s="208"/>
      <x:c r="E51" s="208"/>
      <x:c r="F51" s="208"/>
      <x:c r="G51" s="208"/>
      <x:c r="H51" s="208"/>
      <x:c r="I51" s="208"/>
      <x:c r="J51" s="208"/>
    </x:row>
    <x:row r="52" ht="16" customHeight="1">
      <x:c r="A52" s="208"/>
      <x:c r="B52" s="208"/>
      <x:c r="C52" s="208"/>
      <x:c r="D52" s="208"/>
      <x:c r="E52" s="208"/>
      <x:c r="F52" s="208"/>
      <x:c r="G52" s="208"/>
      <x:c r="H52" s="208"/>
      <x:c r="I52" s="208"/>
      <x:c r="J52" s="208"/>
    </x:row>
    <x:row r="53" ht="16" customHeight="1"/>
    <x:row r="54" ht="16" customHeight="1"/>
    <x:row r="55" ht="16" customHeight="1"/>
    <x:row r="56" ht="16" customHeight="1"/>
    <x:row r="57" ht="16" customHeight="1"/>
    <x:row r="58" ht="16" customHeight="1"/>
    <x:row r="59" ht="16" customHeight="1"/>
    <x:row r="60" ht="16" customHeight="1"/>
    <x:row r="61" ht="16" customHeight="1"/>
    <x:row r="62" ht="16" customHeight="1"/>
    <x:row r="63" ht="16" customHeight="1"/>
    <x:row r="64" ht="16" customHeight="1"/>
    <x:row r="65" ht="16" customHeight="1"/>
    <x:row r="66" ht="16" customHeight="1"/>
    <x:row r="67" ht="16" customHeight="1"/>
    <x:row r="68" ht="16" customHeight="1"/>
    <x:row r="69" ht="16" customHeight="1"/>
    <x:row r="70" ht="16" customHeight="1"/>
  </x:sheetData>
  <x:mergeCells>
    <x:mergeCell ref="A1:J1"/>
    <x:mergeCell ref="A2:J2"/>
    <x:mergeCell ref="B3:J3"/>
    <x:mergeCell ref="A5:J5"/>
    <x:mergeCell ref="A18:J18"/>
    <x:mergeCell ref="A42:J42"/>
    <x:mergeCell ref="A51:J52"/>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49" hidden="0" customWidth="1"/>
  </x:cols>
  <x:sheetData>
    <x:row r="1" ht="25" customHeight="1">
      <x:c r="A1" s="238" t="str">
        <x:v>ROK Forecast</x:v>
      </x:c>
      <x:c r="B1" s="238"/>
      <x:c r="C1" s="238"/>
      <x:c r="D1" s="238"/>
      <x:c r="E1" s="238"/>
      <x:c r="F1" s="238"/>
      <x:c r="G1" s="238"/>
      <x:c r="H1" s="238"/>
      <x:c r="I1" s="238"/>
      <x:c r="J1" s="238"/>
    </x:row>
    <x:row r="2" ht="20" customHeight="1">
      <x:c r="A2" s="181" t="str">
        <x:v>Rockwell selected buyer metrics required for transaction analysis | USD millions, except per-share data</x:v>
      </x:c>
      <x:c r="B2" s="181"/>
      <x:c r="C2" s="181"/>
      <x:c r="D2" s="181"/>
      <x:c r="E2" s="181"/>
      <x:c r="F2" s="181"/>
      <x:c r="G2" s="181"/>
      <x:c r="H2" s="181"/>
      <x:c r="I2" s="181"/>
      <x:c r="J2" s="181"/>
    </x:row>
    <x:row r="3" ht="20" customHeight="1">
      <x:c r="A3" s="183" t="str">
        <x:v>Status</x:v>
      </x:c>
      <x:c r="B3" s="183" t="str">
        <x:v>Complete — FY2026E guidance-anchored buyer forecast</x:v>
      </x:c>
      <x:c r="C3" s="183"/>
      <x:c r="D3" s="183"/>
      <x:c r="E3" s="183"/>
      <x:c r="F3" s="183"/>
      <x:c r="G3" s="183"/>
      <x:c r="H3" s="183"/>
      <x:c r="I3" s="183"/>
      <x:c r="J3" s="183"/>
    </x:row>
    <x:row r="4" ht="16" customHeight="1"/>
    <x:row r="5" ht="16" customHeight="1">
      <x:c r="A5" s="139" t="str">
        <x:v>BUYER FORECAST METRICS</x:v>
      </x:c>
      <x:c r="B5" s="139"/>
      <x:c r="C5" s="139"/>
      <x:c r="D5" s="139"/>
      <x:c r="E5" s="139"/>
      <x:c r="F5" s="139"/>
      <x:c r="G5" s="139"/>
      <x:c r="H5" s="139"/>
      <x:c r="I5" s="139"/>
      <x:c r="J5" s="139"/>
    </x:row>
    <x:row r="6" ht="16" customHeight="1">
      <x:c r="A6" s="223" t="str">
        <x:v>Fiscal year</x:v>
      </x:c>
      <x:c r="B6" s="224" t="str">
        <x:v>FY2023A</x:v>
      </x:c>
      <x:c r="C6" s="224" t="str">
        <x:v>FY2024A</x:v>
      </x:c>
      <x:c r="D6" s="224" t="str">
        <x:v>FY2025A</x:v>
      </x:c>
      <x:c r="E6" s="224" t="str">
        <x:v>FY2026E</x:v>
      </x:c>
      <x:c r="F6" s="224" t="str">
        <x:v>FY2027E</x:v>
      </x:c>
      <x:c r="G6" s="224" t="str">
        <x:v>FY2028E</x:v>
      </x:c>
      <x:c r="H6" s="224" t="str">
        <x:v>FY2029E</x:v>
      </x:c>
      <x:c r="I6" s="224" t="str">
        <x:v>FY2030E</x:v>
      </x:c>
      <x:c r="J6" s="225" t="str">
        <x:v>Source / methodology</x:v>
      </x:c>
    </x:row>
    <x:row r="7" ht="16" customHeight="1">
      <x:c r="A7" s="187" t="str">
        <x:v>Revenue</x:v>
      </x:c>
      <x:c r="B7" s="226" t="n">
        <x:f>'ROK Historical'!D7</x:f>
        <x:v>9058</x:v>
      </x:c>
      <x:c r="C7" s="226" t="n">
        <x:f>'ROK Historical'!E7</x:f>
        <x:v>8264</x:v>
      </x:c>
      <x:c r="D7" s="226" t="n">
        <x:f>'ROK Historical'!F7</x:f>
        <x:v>8342</x:v>
      </x:c>
      <x:c r="E7" s="227" t="n">
        <x:f>D7*(1+E8)</x:f>
        <x:v>9051.07</x:v>
      </x:c>
      <x:c r="F7" s="227" t="n">
        <x:f>E7*(1+F8)</x:f>
        <x:v>9503.6235</x:v>
      </x:c>
      <x:c r="G7" s="227" t="n">
        <x:f>F7*(1+G8)</x:f>
        <x:v>9931.2865575</x:v>
      </x:c>
      <x:c r="H7" s="227" t="n">
        <x:f>G7*(1+H8)</x:f>
        <x:v>10328.5380198</x:v>
      </x:c>
      <x:c r="I7" s="227" t="n">
        <x:f>H7*(1+I8)</x:f>
        <x:v>10741.679540592</x:v>
      </x:c>
      <x:c r="J7" s="189" t="str">
        <x:v>FY2026 S-018 midpoint; outer years analyst assumptions</x:v>
      </x:c>
    </x:row>
    <x:row r="8" ht="16" customHeight="1">
      <x:c r="A8" s="187" t="str">
        <x:v>% growth</x:v>
      </x:c>
      <x:c r="B8" s="200" t="n">
        <x:f>'ROK Historical'!D8</x:f>
        <x:v>0.16720787588268649</x:v>
      </x:c>
      <x:c r="C8" s="200" t="n">
        <x:f>'ROK Historical'!E8</x:f>
        <x:v>-0.08765731949657762</x:v>
      </x:c>
      <x:c r="D8" s="200" t="n">
        <x:f>'ROK Historical'!F8</x:f>
        <x:v>0.009438528557599302</x:v>
      </x:c>
      <x:c r="E8" s="228" t="n">
        <x:f>'Control'!C56</x:f>
        <x:v>0.085</x:v>
      </x:c>
      <x:c r="F8" s="228" t="n">
        <x:f>'Control'!D56</x:f>
        <x:v>0.05</x:v>
      </x:c>
      <x:c r="G8" s="228" t="n">
        <x:f>'Control'!E56</x:f>
        <x:v>0.045</x:v>
      </x:c>
      <x:c r="H8" s="228" t="n">
        <x:f>'Control'!F56</x:f>
        <x:v>0.04</x:v>
      </x:c>
      <x:c r="I8" s="228" t="n">
        <x:f>'Control'!G56</x:f>
        <x:v>0.04</x:v>
      </x:c>
      <x:c r="J8" s="189" t="str">
        <x:v>Control sheet</x:v>
      </x:c>
    </x:row>
    <x:row r="9" ht="16" customHeight="1">
      <x:c r="A9" s="187" t="str">
        <x:v>Segment / enterprise operating margin</x:v>
      </x:c>
      <x:c r="B9" s="200" t="n">
        <x:f>'ROK Historical'!D10</x:f>
        <x:v>0.21296091852506072</x:v>
      </x:c>
      <x:c r="C9" s="200" t="n">
        <x:f>'ROK Historical'!E10</x:f>
        <x:v>0.1930058083252662</x:v>
      </x:c>
      <x:c r="D9" s="200" t="n">
        <x:f>'ROK Historical'!F10</x:f>
        <x:v>0.20414768640613762</x:v>
      </x:c>
      <x:c r="E9" s="228" t="n">
        <x:f>'Control'!C57</x:f>
        <x:v>0.215</x:v>
      </x:c>
      <x:c r="F9" s="228" t="n">
        <x:f>'Control'!D57</x:f>
        <x:v>0.217</x:v>
      </x:c>
      <x:c r="G9" s="228" t="n">
        <x:f>'Control'!E57</x:f>
        <x:v>0.219</x:v>
      </x:c>
      <x:c r="H9" s="228" t="n">
        <x:f>'Control'!F57</x:f>
        <x:v>0.22</x:v>
      </x:c>
      <x:c r="I9" s="228" t="n">
        <x:f>'Control'!G57</x:f>
        <x:v>0.22</x:v>
      </x:c>
      <x:c r="J9" s="189" t="str">
        <x:v>Historical segment margin; forecast enterprise margin</x:v>
      </x:c>
    </x:row>
    <x:row r="10" ht="16" customHeight="1">
      <x:c r="A10" s="187" t="str">
        <x:v>Segment / enterprise operating profit</x:v>
      </x:c>
      <x:c r="B10" s="226" t="n">
        <x:f>'ROK Historical'!D9</x:f>
        <x:v>1929</x:v>
      </x:c>
      <x:c r="C10" s="226" t="n">
        <x:f>'ROK Historical'!E9</x:f>
        <x:v>1595</x:v>
      </x:c>
      <x:c r="D10" s="226" t="n">
        <x:f>'ROK Historical'!F9</x:f>
        <x:v>1703</x:v>
      </x:c>
      <x:c r="E10" s="227" t="n">
        <x:f>E7*E9</x:f>
        <x:v>1945.98005</x:v>
      </x:c>
      <x:c r="F10" s="227" t="n">
        <x:f>F7*F9</x:f>
        <x:v>2062.2862995</x:v>
      </x:c>
      <x:c r="G10" s="227" t="n">
        <x:f>G7*G9</x:f>
        <x:v>2174.9517560925</x:v>
      </x:c>
      <x:c r="H10" s="227" t="n">
        <x:f>H7*H9</x:f>
        <x:v>2272.278364356</x:v>
      </x:c>
      <x:c r="I10" s="227" t="n">
        <x:f>I7*I9</x:f>
        <x:v>2363.16949893024</x:v>
      </x:c>
      <x:c r="J10" s="189" t="str">
        <x:v>Revenue × margin</x:v>
      </x:c>
    </x:row>
    <x:row r="11" ht="16" customHeight="1">
      <x:c r="A11" s="187" t="str">
        <x:v>Reported / adjusted diluted EPS</x:v>
      </x:c>
      <x:c r="B11" s="231" t="n">
        <x:f>'ROK Historical'!D19</x:f>
        <x:v>11.95</x:v>
      </x:c>
      <x:c r="C11" s="231" t="n">
        <x:f>'ROK Historical'!E19</x:f>
        <x:v>8.28</x:v>
      </x:c>
      <x:c r="D11" s="231" t="n">
        <x:f>'ROK Historical'!F19</x:f>
        <x:v>7.67</x:v>
      </x:c>
      <x:c r="E11" s="232" t="n">
        <x:f>'Control'!C58</x:f>
        <x:v>13.15</x:v>
      </x:c>
      <x:c r="F11" s="232" t="n">
        <x:f>E11*(1+F12)</x:f>
        <x:v>13.939000000000002</x:v>
      </x:c>
      <x:c r="G11" s="232" t="n">
        <x:f>F11*(1+G12)</x:f>
        <x:v>14.775340000000003</x:v>
      </x:c>
      <x:c r="H11" s="232" t="n">
        <x:f>G11*(1+H12)</x:f>
        <x:v>15.514107000000005</x:v>
      </x:c>
      <x:c r="I11" s="232" t="n">
        <x:f>H11*(1+I12)</x:f>
        <x:v>16.289812350000005</x:v>
      </x:c>
      <x:c r="J11" s="189" t="str">
        <x:v>Historical reported EPS; forecast adjusted EPS</x:v>
      </x:c>
    </x:row>
    <x:row r="12" ht="16" customHeight="1">
      <x:c r="A12" s="187" t="str">
        <x:v>Adjusted EPS growth</x:v>
      </x:c>
      <x:c r="B12" s="200"/>
      <x:c r="C12" s="200"/>
      <x:c r="D12" s="200"/>
      <x:c r="E12" s="228"/>
      <x:c r="F12" s="228" t="n">
        <x:f>'Control'!D59</x:f>
        <x:v>0.06</x:v>
      </x:c>
      <x:c r="G12" s="228" t="n">
        <x:f>'Control'!E59</x:f>
        <x:v>0.06</x:v>
      </x:c>
      <x:c r="H12" s="228" t="n">
        <x:f>'Control'!F59</x:f>
        <x:v>0.05</x:v>
      </x:c>
      <x:c r="I12" s="228" t="n">
        <x:f>'Control'!G59</x:f>
        <x:v>0.05</x:v>
      </x:c>
      <x:c r="J12" s="189" t="str">
        <x:v>Analyst assumption after FY2026</x:v>
      </x:c>
    </x:row>
    <x:row r="13" ht="16" customHeight="1">
      <x:c r="A13" s="187" t="str">
        <x:v>Diluted weighted average shares</x:v>
      </x:c>
      <x:c r="B13" s="229" t="n">
        <x:f>'ROK Historical'!D17</x:f>
        <x:v>115.6</x:v>
      </x:c>
      <x:c r="C13" s="229" t="n">
        <x:f>'ROK Historical'!E17</x:f>
        <x:v>114.5</x:v>
      </x:c>
      <x:c r="D13" s="229" t="n">
        <x:f>'ROK Historical'!F17</x:f>
        <x:v>113.1</x:v>
      </x:c>
      <x:c r="E13" s="230" t="n">
        <x:f>D13*(1+'Control'!C60)</x:f>
        <x:v>112.1952</x:v>
      </x:c>
      <x:c r="F13" s="230" t="n">
        <x:f>E13*(1+'Control'!D60)</x:f>
        <x:v>111.2976384</x:v>
      </x:c>
      <x:c r="G13" s="230" t="n">
        <x:f>F13*(1+'Control'!E60)</x:f>
        <x:v>110.4072572928</x:v>
      </x:c>
      <x:c r="H13" s="230" t="n">
        <x:f>G13*(1+'Control'!F60)</x:f>
        <x:v>109.52399923445759</x:v>
      </x:c>
      <x:c r="I13" s="230" t="n">
        <x:f>H13*(1+'Control'!G60)</x:f>
        <x:v>108.64780724058193</x:v>
      </x:c>
      <x:c r="J13" s="189" t="str">
        <x:v>Prior year shares × (1 + change)</x:v>
      </x:c>
    </x:row>
    <x:row r="14" ht="16" customHeight="1">
      <x:c r="A14" s="187" t="str">
        <x:v>Adjusted net income proxy</x:v>
      </x:c>
      <x:c r="B14" s="226" t="n">
        <x:f>'ROK Historical'!D15</x:f>
        <x:v>1387</x:v>
      </x:c>
      <x:c r="C14" s="226" t="n">
        <x:f>'ROK Historical'!E15</x:f>
        <x:v>953</x:v>
      </x:c>
      <x:c r="D14" s="226" t="n">
        <x:f>'ROK Historical'!F15</x:f>
        <x:v>869</x:v>
      </x:c>
      <x:c r="E14" s="227" t="n">
        <x:f>E11*E13</x:f>
        <x:v>1475.36688</x:v>
      </x:c>
      <x:c r="F14" s="227" t="n">
        <x:f>F11*F13</x:f>
        <x:v>1551.3777816576</x:v>
      </x:c>
      <x:c r="G14" s="227" t="n">
        <x:f>G11*G13</x:f>
        <x:v>1631.3047649685998</x:v>
      </x:c>
      <x:c r="H14" s="227" t="n">
        <x:f>H11*H13</x:f>
        <x:v>1699.1670431912937</x:v>
      </x:c>
      <x:c r="I14" s="227" t="n">
        <x:f>I11*I13</x:f>
        <x:v>1769.8523921880515</x:v>
      </x:c>
      <x:c r="J14" s="189" t="str">
        <x:v>Adjusted EPS × diluted shares</x:v>
      </x:c>
    </x:row>
    <x:row r="15" ht="16" customHeight="1">
      <x:c r="A15" s="187" t="str">
        <x:v>FCF conversion</x:v>
      </x:c>
      <x:c r="B15" s="200" t="n">
        <x:f>'ROK Historical'!D31</x:f>
        <x:v>0.8749098774333093</x:v>
      </x:c>
      <x:c r="C15" s="200" t="n">
        <x:f>'ROK Historical'!E31</x:f>
        <x:v>0.670514165792235</x:v>
      </x:c>
      <x:c r="D15" s="200" t="n">
        <x:f>'ROK Historical'!F31</x:f>
        <x:v>1.5627157652474108</x:v>
      </x:c>
      <x:c r="E15" s="228" t="n">
        <x:f>'Control'!C61</x:f>
        <x:v>1</x:v>
      </x:c>
      <x:c r="F15" s="228" t="n">
        <x:f>'Control'!D61</x:f>
        <x:v>1</x:v>
      </x:c>
      <x:c r="G15" s="228" t="n">
        <x:f>'Control'!E61</x:f>
        <x:v>1</x:v>
      </x:c>
      <x:c r="H15" s="228" t="n">
        <x:f>'Control'!F61</x:f>
        <x:v>1</x:v>
      </x:c>
      <x:c r="I15" s="228" t="n">
        <x:f>'Control'!G61</x:f>
        <x:v>1</x:v>
      </x:c>
      <x:c r="J15" s="189" t="str">
        <x:v>FY2026 management outlook; held constant</x:v>
      </x:c>
    </x:row>
    <x:row r="16" ht="16" customHeight="1">
      <x:c r="A16" s="187" t="str">
        <x:v>Free cash flow proxy</x:v>
      </x:c>
      <x:c r="B16" s="226" t="n">
        <x:f>'ROK Historical'!D29</x:f>
        <x:v>1213.5</x:v>
      </x:c>
      <x:c r="C16" s="226" t="n">
        <x:f>'ROK Historical'!E29</x:f>
        <x:v>639</x:v>
      </x:c>
      <x:c r="D16" s="226" t="n">
        <x:f>'ROK Historical'!F29</x:f>
        <x:v>1358</x:v>
      </x:c>
      <x:c r="E16" s="227" t="n">
        <x:f>E14*E15</x:f>
        <x:v>1475.36688</x:v>
      </x:c>
      <x:c r="F16" s="227" t="n">
        <x:f>F14*F15</x:f>
        <x:v>1551.3777816576</x:v>
      </x:c>
      <x:c r="G16" s="227" t="n">
        <x:f>G14*G15</x:f>
        <x:v>1631.3047649685998</x:v>
      </x:c>
      <x:c r="H16" s="227" t="n">
        <x:f>H14*H15</x:f>
        <x:v>1699.1670431912937</x:v>
      </x:c>
      <x:c r="I16" s="227" t="n">
        <x:f>I14*I15</x:f>
        <x:v>1769.8523921880515</x:v>
      </x:c>
      <x:c r="J16" s="189" t="str">
        <x:v>Adjusted net income proxy × FCF conversion</x:v>
      </x:c>
    </x:row>
    <x:row r="17" ht="16" customHeight="1">
      <x:c r="A17" s="190" t="str">
        <x:v>Free cash flow margin</x:v>
      </x:c>
      <x:c r="B17" s="201" t="n">
        <x:f>'ROK Historical'!D30</x:f>
        <x:v>0.13396997129609184</x:v>
      </x:c>
      <x:c r="C17" s="201" t="n">
        <x:f>'ROK Historical'!E30</x:f>
        <x:v>0.07732333010648597</x:v>
      </x:c>
      <x:c r="D17" s="201" t="n">
        <x:f>'ROK Historical'!F30</x:f>
        <x:v>0.16279069767441862</x:v>
      </x:c>
      <x:c r="E17" s="237" t="n">
        <x:f>E16/E7</x:f>
        <x:v>0.16300469226290373</x:v>
      </x:c>
      <x:c r="F17" s="237" t="n">
        <x:f>F16/F7</x:f>
        <x:v>0.16324066096027479</x:v>
      </x:c>
      <x:c r="G17" s="237" t="n">
        <x:f>G16/G7</x:f>
        <x:v>0.16425915771573987</x:v>
      </x:c>
      <x:c r="H17" s="237" t="n">
        <x:f>H16/H7</x:f>
        <x:v>0.16451186411222563</x:v>
      </x:c>
      <x:c r="I17" s="237" t="n">
        <x:f>I16/I7</x:f>
        <x:v>0.1647649592877829</x:v>
      </x:c>
      <x:c r="J17" s="192" t="str">
        <x:v>Calculated</x:v>
      </x:c>
    </x:row>
    <x:row r="18" ht="16" customHeight="1"/>
    <x:row r="19" ht="16" customHeight="1">
      <x:c r="A19" s="208" t="str">
        <x:v>Analyst note: this buyer forecast intentionally uses a limited set of normalized metrics needed for financing and accretion/dilution analysis. Reported historical EPS and forecast adjusted EPS are shown transparently and will be reconciled before the transaction model is finalized.</x:v>
      </x:c>
      <x:c r="B19" s="208"/>
      <x:c r="C19" s="208"/>
      <x:c r="D19" s="208"/>
      <x:c r="E19" s="208"/>
      <x:c r="F19" s="208"/>
      <x:c r="G19" s="208"/>
      <x:c r="H19" s="208"/>
      <x:c r="I19" s="208"/>
      <x:c r="J19" s="208"/>
    </x:row>
    <x:row r="20" ht="16" customHeight="1">
      <x:c r="A20" s="208"/>
      <x:c r="B20" s="208"/>
      <x:c r="C20" s="208"/>
      <x:c r="D20" s="208"/>
      <x:c r="E20" s="208"/>
      <x:c r="F20" s="208"/>
      <x:c r="G20" s="208"/>
      <x:c r="H20" s="208"/>
      <x:c r="I20" s="208"/>
      <x:c r="J20" s="208"/>
    </x:row>
    <x:row r="21" ht="16" customHeight="1"/>
    <x:row r="22" ht="16" customHeight="1"/>
    <x:row r="23" ht="16" customHeight="1"/>
    <x:row r="24" ht="16" customHeight="1"/>
    <x:row r="25" ht="16" customHeight="1"/>
    <x:row r="26" ht="16" customHeight="1"/>
    <x:row r="27" ht="16" customHeight="1"/>
    <x:row r="28" ht="16" customHeight="1"/>
    <x:row r="29" ht="16" customHeight="1"/>
    <x:row r="30" ht="16" customHeight="1"/>
    <x:row r="31" ht="16" customHeight="1"/>
    <x:row r="32" ht="16" customHeight="1"/>
    <x:row r="33" ht="16" customHeight="1"/>
    <x:row r="34" ht="16" customHeight="1"/>
    <x:row r="35" ht="16" customHeight="1"/>
    <x:row r="36" ht="16" customHeight="1"/>
    <x:row r="37" ht="16" customHeight="1"/>
    <x:row r="38" ht="16" customHeight="1"/>
    <x:row r="39" ht="16" customHeight="1"/>
    <x:row r="40" ht="16" customHeight="1"/>
    <x:row r="41" ht="16" customHeight="1"/>
    <x:row r="42" ht="16" customHeight="1"/>
    <x:row r="43" ht="16" customHeight="1"/>
    <x:row r="44" ht="16" customHeight="1"/>
    <x:row r="45" ht="16" customHeight="1"/>
    <x:row r="46" ht="16" customHeight="1"/>
    <x:row r="47" ht="16" customHeight="1"/>
    <x:row r="48" ht="16" customHeight="1"/>
    <x:row r="49" ht="16" customHeight="1"/>
    <x:row r="50" ht="16" customHeight="1"/>
    <x:row r="51" ht="16" customHeight="1"/>
    <x:row r="52" ht="16" customHeight="1"/>
    <x:row r="53" ht="16" customHeight="1"/>
    <x:row r="54" ht="16" customHeight="1"/>
    <x:row r="55" ht="16" customHeight="1"/>
    <x:row r="56" ht="16" customHeight="1"/>
    <x:row r="57" ht="16" customHeight="1"/>
    <x:row r="58" ht="16" customHeight="1"/>
    <x:row r="59" ht="16" customHeight="1"/>
    <x:row r="60" ht="16" customHeight="1"/>
    <x:row r="61" ht="16" customHeight="1"/>
    <x:row r="62" ht="16" customHeight="1"/>
    <x:row r="63" ht="16" customHeight="1"/>
    <x:row r="64" ht="16" customHeight="1"/>
    <x:row r="65" ht="16" customHeight="1"/>
    <x:row r="66" ht="16" customHeight="1"/>
    <x:row r="67" ht="16" customHeight="1"/>
    <x:row r="68" ht="16" customHeight="1"/>
    <x:row r="69" ht="16" customHeight="1"/>
    <x:row r="70" ht="16" customHeight="1"/>
  </x:sheetData>
  <x:mergeCells>
    <x:mergeCell ref="A1:J1"/>
    <x:mergeCell ref="A2:J2"/>
    <x:mergeCell ref="B3:J3"/>
    <x:mergeCell ref="A5:J5"/>
    <x:mergeCell ref="A19:J20"/>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35" hidden="0" customWidth="1"/>
    <x:col min="2" max="2" width="15" hidden="0" customWidth="1"/>
    <x:col min="3" max="3" width="18" hidden="0" customWidth="1"/>
    <x:col min="4" max="4" width="18" hidden="0" customWidth="1"/>
    <x:col min="5" max="5" width="46" hidden="0" customWidth="1"/>
    <x:col min="6" max="6" width="15" hidden="0" customWidth="1"/>
    <x:col min="7" max="7" width="34" hidden="0" customWidth="1"/>
    <x:col min="8" max="8" width="18" hidden="0" customWidth="1"/>
    <x:col min="9" max="9" width="12" hidden="0" customWidth="1"/>
    <x:col min="10" max="10" width="12" hidden="0" customWidth="1"/>
  </x:cols>
  <x:sheetData>
    <x:row r="1" ht="25" customHeight="1">
      <x:c r="A1" s="348" t="str">
        <x:v>DCF</x:v>
      </x:c>
      <x:c r="B1" s="348"/>
      <x:c r="C1" s="348"/>
      <x:c r="D1" s="348"/>
      <x:c r="E1" s="348"/>
      <x:c r="F1" s="348"/>
      <x:c r="G1" s="348"/>
      <x:c r="H1" s="348"/>
      <x:c r="I1" s="348"/>
      <x:c r="J1" s="348"/>
    </x:row>
    <x:row r="2" ht="20" customHeight="1">
      <x:c r="A2" s="349" t="str">
        <x:v>Standalone discounted cash flow valuation of Cognex | USD millions, except per-share data</x:v>
      </x:c>
      <x:c r="B2" s="349"/>
      <x:c r="C2" s="349"/>
      <x:c r="D2" s="349"/>
      <x:c r="E2" s="349"/>
      <x:c r="F2" s="349"/>
      <x:c r="G2" s="349"/>
      <x:c r="H2" s="349"/>
      <x:c r="I2" s="349"/>
      <x:c r="J2" s="349"/>
    </x:row>
    <x:row r="3" ht="20" customHeight="1">
      <x:c r="A3" s="350" t="str">
        <x:v>Status</x:v>
      </x:c>
      <x:c r="B3" s="350" t="str">
        <x:v>Complete — Gordon Growth DCF with CAPM WACC and dynamic sensitivity</x:v>
      </x:c>
      <x:c r="C3" s="350"/>
      <x:c r="D3" s="350"/>
      <x:c r="E3" s="350"/>
      <x:c r="F3" s="350"/>
      <x:c r="G3" s="350"/>
      <x:c r="H3" s="350"/>
      <x:c r="I3" s="350"/>
      <x:c r="J3" s="350"/>
    </x:row>
    <x:row r="4" ht="17" customHeight="1">
      <x:c r="A4" s="14"/>
      <x:c r="B4" s="14"/>
      <x:c r="C4" s="14"/>
      <x:c r="D4" s="14"/>
      <x:c r="E4" s="14"/>
      <x:c r="F4" s="14"/>
      <x:c r="G4" s="14"/>
      <x:c r="H4" s="14"/>
      <x:c r="I4" s="14"/>
      <x:c r="J4" s="14"/>
    </x:row>
    <x:row r="5" ht="17" customHeight="1">
      <x:c r="A5" s="351" t="str">
        <x:v>WACC AND VALUATION ASSUMPTIONS</x:v>
      </x:c>
      <x:c r="B5" s="351"/>
      <x:c r="C5" s="351"/>
      <x:c r="D5" s="351"/>
      <x:c r="E5" s="351"/>
      <x:c r="F5" s="14"/>
      <x:c r="G5" s="351" t="str">
        <x:v>KEY DCF OUTPUTS</x:v>
      </x:c>
      <x:c r="H5" s="351"/>
      <x:c r="I5" s="351"/>
      <x:c r="J5" s="351"/>
    </x:row>
    <x:row r="6" ht="17" customHeight="1">
      <x:c r="A6" s="280" t="str">
        <x:v>Assumption</x:v>
      </x:c>
      <x:c r="B6" s="281" t="str">
        <x:v>Value</x:v>
      </x:c>
      <x:c r="C6" s="281" t="str">
        <x:v>Units</x:v>
      </x:c>
      <x:c r="D6" s="281" t="str">
        <x:v>Source</x:v>
      </x:c>
      <x:c r="E6" s="282" t="str">
        <x:v>Methodology / note</x:v>
      </x:c>
      <x:c r="F6" s="14"/>
      <x:c r="G6" s="352" t="str">
        <x:v>Enterprise value</x:v>
      </x:c>
      <x:c r="H6" s="353" t="n">
        <x:f>B38</x:f>
        <x:v>3583.677242163858</x:v>
      </x:c>
      <x:c r="I6" s="14"/>
      <x:c r="J6" s="14"/>
    </x:row>
    <x:row r="7" ht="17" customHeight="1">
      <x:c r="A7" s="255" t="str">
        <x:v>Risk-free rate</x:v>
      </x:c>
      <x:c r="B7" s="354" t="n">
        <x:v>0.047</x:v>
      </x:c>
      <x:c r="C7" s="256" t="str">
        <x:v>%</x:v>
      </x:c>
      <x:c r="D7" s="256" t="str">
        <x:v>S-029</x:v>
      </x:c>
      <x:c r="E7" s="258" t="str">
        <x:v>10-year U.S. Treasury, rounded</x:v>
      </x:c>
      <x:c r="F7" s="14"/>
      <x:c r="G7" s="352" t="str">
        <x:v>Equity value</x:v>
      </x:c>
      <x:c r="H7" s="353" t="n">
        <x:f>B41</x:f>
        <x:v>4338.690242163858</x:v>
      </x:c>
      <x:c r="I7" s="14"/>
      <x:c r="J7" s="14"/>
    </x:row>
    <x:row r="8" ht="17" customHeight="1">
      <x:c r="A8" s="255" t="str">
        <x:v>Observed beta</x:v>
      </x:c>
      <x:c r="B8" s="355" t="n">
        <x:v>1.5</x:v>
      </x:c>
      <x:c r="C8" s="256" t="str">
        <x:v>x</x:v>
      </x:c>
      <x:c r="D8" s="256" t="str">
        <x:v>S-031</x:v>
      </x:c>
      <x:c r="E8" s="258" t="str">
        <x:v>Five-year observed market beta</x:v>
      </x:c>
      <x:c r="F8" s="14"/>
      <x:c r="G8" s="352" t="str">
        <x:v>Implied value / share</x:v>
      </x:c>
      <x:c r="H8" s="356" t="n">
        <x:f>B43</x:f>
        <x:v>25.791148957127746</x:v>
      </x:c>
      <x:c r="I8" s="14"/>
      <x:c r="J8" s="14"/>
    </x:row>
    <x:row r="9" ht="17" customHeight="1">
      <x:c r="A9" s="255" t="str">
        <x:v>Observed-beta weight</x:v>
      </x:c>
      <x:c r="B9" s="354" t="n">
        <x:v>0.67</x:v>
      </x:c>
      <x:c r="C9" s="256" t="str">
        <x:v>%</x:v>
      </x:c>
      <x:c r="D9" s="256" t="str">
        <x:v>Analyst assumption</x:v>
      </x:c>
      <x:c r="E9" s="258" t="str">
        <x:v>Two-thirds weight on observed beta</x:v>
      </x:c>
      <x:c r="F9" s="14"/>
      <x:c r="G9" s="352" t="str">
        <x:v>Terminal value / EV</x:v>
      </x:c>
      <x:c r="H9" s="357" t="n">
        <x:f>B44</x:f>
        <x:v>0.6937883160372396</x:v>
      </x:c>
      <x:c r="I9" s="14"/>
      <x:c r="J9" s="14"/>
    </x:row>
    <x:row r="10" ht="17" customHeight="1">
      <x:c r="A10" s="255" t="str">
        <x:v>Long-run market beta</x:v>
      </x:c>
      <x:c r="B10" s="355" t="n">
        <x:v>1</x:v>
      </x:c>
      <x:c r="C10" s="256" t="str">
        <x:v>x</x:v>
      </x:c>
      <x:c r="D10" s="256" t="str">
        <x:v>CAPM convention</x:v>
      </x:c>
      <x:c r="E10" s="258" t="str">
        <x:v>Beta mean-reversion anchor</x:v>
      </x:c>
      <x:c r="F10" s="14"/>
      <x:c r="G10" s="352" t="str">
        <x:v>Implied terminal EV / EBITDA</x:v>
      </x:c>
      <x:c r="H10" s="358" t="n">
        <x:f>B45</x:f>
        <x:v>8.381110239947771</x:v>
      </x:c>
      <x:c r="I10" s="14"/>
      <x:c r="J10" s="14"/>
    </x:row>
    <x:row r="11" ht="17" customHeight="1">
      <x:c r="A11" s="255" t="str">
        <x:v>Adjusted beta</x:v>
      </x:c>
      <x:c r="B11" s="359" t="n">
        <x:f>B8*B9+B10*(1-B9)</x:f>
        <x:v>1.335</x:v>
      </x:c>
      <x:c r="C11" s="256" t="str">
        <x:v>x</x:v>
      </x:c>
      <x:c r="D11" s="256" t="str">
        <x:v>Calculated</x:v>
      </x:c>
      <x:c r="E11" s="258" t="str">
        <x:v>Observed beta adjusted toward 1.0</x:v>
      </x:c>
      <x:c r="F11" s="14"/>
      <x:c r="G11" s="14"/>
      <x:c r="H11" s="14"/>
      <x:c r="I11" s="14"/>
      <x:c r="J11" s="14"/>
    </x:row>
    <x:row r="12" ht="17" customHeight="1">
      <x:c r="A12" s="255" t="str">
        <x:v>Equity risk premium</x:v>
      </x:c>
      <x:c r="B12" s="360" t="n">
        <x:v>0.05</x:v>
      </x:c>
      <x:c r="C12" s="256" t="str">
        <x:v>%</x:v>
      </x:c>
      <x:c r="D12" s="256" t="str">
        <x:v>S-030</x:v>
      </x:c>
      <x:c r="E12" s="258" t="str">
        <x:v>Kroll recommended U.S. ERP</x:v>
      </x:c>
      <x:c r="F12" s="14"/>
      <x:c r="G12" s="14"/>
      <x:c r="H12" s="14"/>
      <x:c r="I12" s="14"/>
      <x:c r="J12" s="14"/>
    </x:row>
    <x:row r="13" ht="17" customHeight="1">
      <x:c r="A13" s="255" t="str">
        <x:v>Cost of equity</x:v>
      </x:c>
      <x:c r="B13" s="361" t="n">
        <x:f>B7+B11*B12</x:f>
        <x:v>0.11375</x:v>
      </x:c>
      <x:c r="C13" s="256" t="str">
        <x:v>%</x:v>
      </x:c>
      <x:c r="D13" s="256" t="str">
        <x:v>Calculated</x:v>
      </x:c>
      <x:c r="E13" s="258" t="str">
        <x:v>Risk-free rate + adjusted beta × ERP</x:v>
      </x:c>
      <x:c r="F13" s="14"/>
      <x:c r="G13" s="14"/>
      <x:c r="H13" s="14"/>
      <x:c r="I13" s="14"/>
      <x:c r="J13" s="14"/>
    </x:row>
    <x:row r="14" ht="17" customHeight="1">
      <x:c r="A14" s="255" t="str">
        <x:v>Debt weight</x:v>
      </x:c>
      <x:c r="B14" s="354" t="n">
        <x:v>0</x:v>
      </x:c>
      <x:c r="C14" s="256" t="str">
        <x:v>%</x:v>
      </x:c>
      <x:c r="D14" s="256" t="str">
        <x:v>S-022</x:v>
      </x:c>
      <x:c r="E14" s="258" t="str">
        <x:v>Cognex has no funded debt</x:v>
      </x:c>
      <x:c r="F14" s="14"/>
      <x:c r="G14" s="14"/>
      <x:c r="H14" s="14"/>
      <x:c r="I14" s="14"/>
      <x:c r="J14" s="14"/>
    </x:row>
    <x:row r="15" ht="17" customHeight="1">
      <x:c r="A15" s="255" t="str">
        <x:v>Pre-tax cost of debt</x:v>
      </x:c>
      <x:c r="B15" s="354" t="n">
        <x:v>0.06</x:v>
      </x:c>
      <x:c r="C15" s="256" t="str">
        <x:v>%</x:v>
      </x:c>
      <x:c r="D15" s="256" t="str">
        <x:v>Illustrative; no debt</x:v>
      </x:c>
      <x:c r="E15" s="258" t="str">
        <x:v>Displayed for completeness; no WACC impact</x:v>
      </x:c>
      <x:c r="F15" s="14"/>
      <x:c r="G15" s="14"/>
      <x:c r="H15" s="14"/>
      <x:c r="I15" s="14"/>
      <x:c r="J15" s="14"/>
    </x:row>
    <x:row r="16" ht="17" customHeight="1">
      <x:c r="A16" s="255" t="str">
        <x:v>Tax rate</x:v>
      </x:c>
      <x:c r="B16" s="354" t="n">
        <x:v>0.2</x:v>
      </x:c>
      <x:c r="C16" s="256" t="str">
        <x:v>%</x:v>
      </x:c>
      <x:c r="D16" s="256" t="str">
        <x:v>Operating model</x:v>
      </x:c>
      <x:c r="E16" s="258" t="str">
        <x:v>Normalized operating-model tax rate</x:v>
      </x:c>
      <x:c r="F16" s="14"/>
      <x:c r="G16" s="14"/>
      <x:c r="H16" s="14"/>
      <x:c r="I16" s="14"/>
      <x:c r="J16" s="14"/>
    </x:row>
    <x:row r="17" ht="17" customHeight="1">
      <x:c r="A17" s="255" t="str">
        <x:v>WACC</x:v>
      </x:c>
      <x:c r="B17" s="362" t="n">
        <x:f>B13*(1-B14)+B15*(1-B16)*B14</x:f>
        <x:v>0.11375</x:v>
      </x:c>
      <x:c r="C17" s="256" t="str">
        <x:v>%</x:v>
      </x:c>
      <x:c r="D17" s="256" t="str">
        <x:v>Calculated</x:v>
      </x:c>
      <x:c r="E17" s="258" t="str">
        <x:v>After-tax weighted cost of capital</x:v>
      </x:c>
      <x:c r="F17" s="14"/>
      <x:c r="G17" s="14"/>
      <x:c r="H17" s="14"/>
      <x:c r="I17" s="14"/>
      <x:c r="J17" s="14"/>
    </x:row>
    <x:row r="18" ht="17" customHeight="1">
      <x:c r="A18" s="255" t="str">
        <x:v>Terminal growth rate</x:v>
      </x:c>
      <x:c r="B18" s="354" t="n">
        <x:v>0.025</x:v>
      </x:c>
      <x:c r="C18" s="256" t="str">
        <x:v>%</x:v>
      </x:c>
      <x:c r="D18" s="256" t="str">
        <x:v>Analyst assumption</x:v>
      </x:c>
      <x:c r="E18" s="258" t="str">
        <x:v>Long-run nominal growth below WACC</x:v>
      </x:c>
      <x:c r="F18" s="14"/>
      <x:c r="G18" s="14"/>
      <x:c r="H18" s="14"/>
      <x:c r="I18" s="14"/>
      <x:c r="J18" s="14"/>
    </x:row>
    <x:row r="19" ht="30" customHeight="1">
      <x:c r="A19" s="255" t="str">
        <x:v>Cash and investments</x:v>
      </x:c>
      <x:c r="B19" s="363" t="n">
        <x:v>755.013</x:v>
      </x:c>
      <x:c r="C19" s="256" t="str">
        <x:v>$mm</x:v>
      </x:c>
      <x:c r="D19" s="256" t="str">
        <x:v>S-022</x:v>
      </x:c>
      <x:c r="E19" s="258" t="str">
        <x:v>As of July 5, 2026</x:v>
      </x:c>
      <x:c r="F19" s="14"/>
      <x:c r="G19" s="14"/>
      <x:c r="H19" s="14"/>
      <x:c r="I19" s="14"/>
      <x:c r="J19" s="14"/>
    </x:row>
    <x:row r="20" ht="30" customHeight="1">
      <x:c r="A20" s="255" t="str">
        <x:v>Debt</x:v>
      </x:c>
      <x:c r="B20" s="363" t="n">
        <x:v>0</x:v>
      </x:c>
      <x:c r="C20" s="256" t="str">
        <x:v>$mm</x:v>
      </x:c>
      <x:c r="D20" s="256" t="str">
        <x:v>S-022</x:v>
      </x:c>
      <x:c r="E20" s="258" t="str">
        <x:v>No debt as of July 5, 2026</x:v>
      </x:c>
      <x:c r="F20" s="14"/>
      <x:c r="G20" s="14"/>
      <x:c r="H20" s="14"/>
      <x:c r="I20" s="14"/>
      <x:c r="J20" s="14"/>
    </x:row>
    <x:row r="21" ht="30" customHeight="1">
      <x:c r="A21" s="259" t="str">
        <x:v>Diluted shares</x:v>
      </x:c>
      <x:c r="B21" s="364" t="n">
        <x:v>168.224</x:v>
      </x:c>
      <x:c r="C21" s="260" t="str">
        <x:v>mm</x:v>
      </x:c>
      <x:c r="D21" s="260" t="str">
        <x:v>S-022</x:v>
      </x:c>
      <x:c r="E21" s="262" t="str">
        <x:v>Latest basic shares used as diluted proxy; refine with treasury-stock method later</x:v>
      </x:c>
      <x:c r="F21" s="14"/>
      <x:c r="G21" s="14"/>
      <x:c r="H21" s="14"/>
      <x:c r="I21" s="14"/>
      <x:c r="J21" s="14"/>
    </x:row>
    <x:row r="22" ht="17" customHeight="1">
      <x:c r="A22" s="14"/>
      <x:c r="B22" s="14"/>
      <x:c r="C22" s="14"/>
      <x:c r="D22" s="14"/>
      <x:c r="E22" s="14"/>
      <x:c r="F22" s="14"/>
      <x:c r="G22" s="14"/>
      <x:c r="H22" s="14"/>
      <x:c r="I22" s="14"/>
      <x:c r="J22" s="14"/>
    </x:row>
    <x:row r="23" ht="17" customHeight="1">
      <x:c r="A23" s="351" t="str">
        <x:v>FORECAST CASH FLOWS AND PRESENT VALUE</x:v>
      </x:c>
      <x:c r="B23" s="351"/>
      <x:c r="C23" s="351"/>
      <x:c r="D23" s="351"/>
      <x:c r="E23" s="351"/>
      <x:c r="F23" s="351"/>
      <x:c r="G23" s="351"/>
      <x:c r="H23" s="14"/>
      <x:c r="I23" s="14"/>
      <x:c r="J23" s="14"/>
    </x:row>
    <x:row r="24" ht="17" customHeight="1">
      <x:c r="A24" s="280" t="str">
        <x:v>Fiscal year</x:v>
      </x:c>
      <x:c r="B24" s="281" t="str">
        <x:v>FY2026E</x:v>
      </x:c>
      <x:c r="C24" s="281" t="str">
        <x:v>FY2027E</x:v>
      </x:c>
      <x:c r="D24" s="281" t="str">
        <x:v>FY2028E</x:v>
      </x:c>
      <x:c r="E24" s="281" t="str">
        <x:v>FY2029E</x:v>
      </x:c>
      <x:c r="F24" s="281" t="str">
        <x:v>FY2030E</x:v>
      </x:c>
      <x:c r="G24" s="282" t="str">
        <x:v>Source / methodology</x:v>
      </x:c>
      <x:c r="H24" s="14"/>
      <x:c r="I24" s="14"/>
      <x:c r="J24" s="14"/>
    </x:row>
    <x:row r="25" ht="17" customHeight="1">
      <x:c r="A25" s="255" t="str">
        <x:v>Unlevered free cash flow</x:v>
      </x:c>
      <x:c r="B25" s="365" t="n">
        <x:f>'CGNX Operating Model'!E48</x:f>
        <x:v>226.41899999999998</x:v>
      </x:c>
      <x:c r="C25" s="365" t="n">
        <x:f>'CGNX Operating Model'!F48</x:f>
        <x:v>261.45443999999986</x:v>
      </x:c>
      <x:c r="D25" s="365" t="n">
        <x:f>'CGNX Operating Model'!G48</x:f>
        <x:v>293.5120608000001</x:v>
      </x:c>
      <x:c r="E25" s="365" t="n">
        <x:f>'CGNX Operating Model'!H48</x:f>
        <x:v>322.05507983999996</x:v>
      </x:c>
      <x:c r="F25" s="365" t="n">
        <x:f>'CGNX Operating Model'!I48</x:f>
        <x:v>349.5788050348801</x:v>
      </x:c>
      <x:c r="G25" s="258" t="str">
        <x:v>Linked to CGNX Operating Model</x:v>
      </x:c>
      <x:c r="H25" s="14"/>
      <x:c r="I25" s="14"/>
      <x:c r="J25" s="14"/>
    </x:row>
    <x:row r="26" ht="17" customHeight="1">
      <x:c r="A26" s="255" t="str">
        <x:v>Discount period</x:v>
      </x:c>
      <x:c r="B26" s="366" t="n">
        <x:v>0.5</x:v>
      </x:c>
      <x:c r="C26" s="366" t="n">
        <x:v>1.5</x:v>
      </x:c>
      <x:c r="D26" s="366" t="n">
        <x:v>2.5</x:v>
      </x:c>
      <x:c r="E26" s="366" t="n">
        <x:v>3.5</x:v>
      </x:c>
      <x:c r="F26" s="366" t="n">
        <x:v>4.5</x:v>
      </x:c>
      <x:c r="G26" s="258" t="str">
        <x:v>Mid-year convention</x:v>
      </x:c>
      <x:c r="H26" s="14"/>
      <x:c r="I26" s="14"/>
      <x:c r="J26" s="14"/>
    </x:row>
    <x:row r="27" ht="17" customHeight="1">
      <x:c r="A27" s="255" t="str">
        <x:v>Discount factor</x:v>
      </x:c>
      <x:c r="B27" s="367" t="n">
        <x:f>1/(1+$B$17)^B26</x:f>
        <x:v>0.9475587393582686</x:v>
      </x:c>
      <x:c r="C27" s="367" t="n">
        <x:f>1/(1+$B$17)^C26</x:f>
        <x:v>0.850782257560735</x:v>
      </x:c>
      <x:c r="D27" s="367" t="n">
        <x:f>1/(1+$B$17)^D26</x:f>
        <x:v>0.7638897935449922</x:v>
      </x:c>
      <x:c r="E27" s="367" t="n">
        <x:f>1/(1+$B$17)^E26</x:f>
        <x:v>0.6858718685027987</x:v>
      </x:c>
      <x:c r="F27" s="367" t="n">
        <x:f>1/(1+$B$17)^F26</x:f>
        <x:v>0.6158221041551504</x:v>
      </x:c>
      <x:c r="G27" s="258" t="str">
        <x:v>1 / (1 + WACC)^period</x:v>
      </x:c>
      <x:c r="H27" s="14"/>
      <x:c r="I27" s="14"/>
      <x:c r="J27" s="14"/>
    </x:row>
    <x:row r="28" ht="17" customHeight="1">
      <x:c r="A28" s="368" t="str">
        <x:v>Present value of UFCF</x:v>
      </x:c>
      <x:c r="B28" s="369" t="n">
        <x:f>B25*B27</x:f>
        <x:v>214.5453022067598</x:v>
      </x:c>
      <x:c r="C28" s="369" t="n">
        <x:f>C25*C27</x:f>
        <x:v>222.44079871247763</x:v>
      </x:c>
      <x:c r="D28" s="369" t="n">
        <x:f>D25*D27</x:f>
        <x:v>224.21086752747726</x:v>
      </x:c>
      <x:c r="E28" s="369" t="n">
        <x:f>E25*E27</x:f>
        <x:v>220.88851937067878</x:v>
      </x:c>
      <x:c r="F28" s="369" t="n">
        <x:f>F25*F27</x:f>
        <x:v>215.27835528462293</x:v>
      </x:c>
      <x:c r="G28" s="262" t="str">
        <x:v>UFCF × discount factor</x:v>
      </x:c>
      <x:c r="H28" s="14"/>
      <x:c r="I28" s="14"/>
      <x:c r="J28" s="14"/>
    </x:row>
    <x:row r="29" ht="17" customHeight="1">
      <x:c r="A29" s="14"/>
      <x:c r="B29" s="14"/>
      <x:c r="C29" s="14"/>
      <x:c r="D29" s="14"/>
      <x:c r="E29" s="14"/>
      <x:c r="F29" s="14"/>
      <x:c r="G29" s="14"/>
      <x:c r="H29" s="14"/>
      <x:c r="I29" s="14"/>
      <x:c r="J29" s="14"/>
    </x:row>
    <x:row r="30" ht="17" customHeight="1">
      <x:c r="A30" s="351" t="str">
        <x:v>TERMINAL VALUE AND EQUITY VALUE BRIDGE</x:v>
      </x:c>
      <x:c r="B30" s="351"/>
      <x:c r="C30" s="351"/>
      <x:c r="D30" s="351"/>
      <x:c r="E30" s="351"/>
      <x:c r="F30" s="14"/>
      <x:c r="G30" s="14"/>
      <x:c r="H30" s="14"/>
      <x:c r="I30" s="14"/>
      <x:c r="J30" s="14"/>
    </x:row>
    <x:row r="31" ht="17" customHeight="1">
      <x:c r="A31" s="251" t="str">
        <x:v>Terminal-year UFCF</x:v>
      </x:c>
      <x:c r="B31" s="370" t="n">
        <x:f>F25</x:f>
        <x:v>349.5788050348801</x:v>
      </x:c>
      <x:c r="C31" s="254" t="str">
        <x:v>FY2030E</x:v>
      </x:c>
      <x:c r="D31" s="14"/>
      <x:c r="E31" s="14"/>
      <x:c r="F31" s="14"/>
      <x:c r="G31" s="14"/>
      <x:c r="H31" s="14"/>
      <x:c r="I31" s="14"/>
      <x:c r="J31" s="14"/>
    </x:row>
    <x:row r="32" ht="17" customHeight="1">
      <x:c r="A32" s="255" t="str">
        <x:v>Terminal growth rate</x:v>
      </x:c>
      <x:c r="B32" s="371" t="n">
        <x:f>B18</x:f>
        <x:v>0.025</x:v>
      </x:c>
      <x:c r="C32" s="258" t="str">
        <x:v>Assumption</x:v>
      </x:c>
      <x:c r="D32" s="14"/>
      <x:c r="E32" s="14"/>
      <x:c r="F32" s="14"/>
      <x:c r="G32" s="14"/>
      <x:c r="H32" s="14"/>
      <x:c r="I32" s="14"/>
      <x:c r="J32" s="14"/>
    </x:row>
    <x:row r="33" ht="17" customHeight="1">
      <x:c r="A33" s="255" t="str">
        <x:v>Terminal UFCF</x:v>
      </x:c>
      <x:c r="B33" s="372" t="n">
        <x:f>B31*(1+B32)</x:f>
        <x:v>358.318275160752</x:v>
      </x:c>
      <x:c r="C33" s="258" t="str">
        <x:v>FY2031E proxy</x:v>
      </x:c>
      <x:c r="D33" s="14"/>
      <x:c r="E33" s="14"/>
      <x:c r="F33" s="14"/>
      <x:c r="G33" s="14"/>
      <x:c r="H33" s="14"/>
      <x:c r="I33" s="14"/>
      <x:c r="J33" s="14"/>
    </x:row>
    <x:row r="34" ht="17" customHeight="1">
      <x:c r="A34" s="255" t="str">
        <x:v>Terminal value</x:v>
      </x:c>
      <x:c r="B34" s="372" t="n">
        <x:f>B33/(B17-B32)</x:f>
        <x:v>4037.3890158957975</x:v>
      </x:c>
      <x:c r="C34" s="258" t="str">
        <x:v>Gordon Growth</x:v>
      </x:c>
      <x:c r="D34" s="14"/>
      <x:c r="E34" s="14"/>
      <x:c r="F34" s="14"/>
      <x:c r="G34" s="14"/>
      <x:c r="H34" s="14"/>
      <x:c r="I34" s="14"/>
      <x:c r="J34" s="14"/>
    </x:row>
    <x:row r="35" ht="17" customHeight="1">
      <x:c r="A35" s="255" t="str">
        <x:v>Terminal discount factor</x:v>
      </x:c>
      <x:c r="B35" s="373" t="n">
        <x:f>F27</x:f>
        <x:v>0.6158221041551504</x:v>
      </x:c>
      <x:c r="C35" s="258" t="str">
        <x:v>Mid-year convention</x:v>
      </x:c>
      <x:c r="D35" s="14"/>
      <x:c r="E35" s="14"/>
      <x:c r="F35" s="14"/>
      <x:c r="G35" s="14"/>
      <x:c r="H35" s="14"/>
      <x:c r="I35" s="14"/>
      <x:c r="J35" s="14"/>
    </x:row>
    <x:row r="36" ht="17" customHeight="1">
      <x:c r="A36" s="255" t="str">
        <x:v>Present value of terminal value</x:v>
      </x:c>
      <x:c r="B36" s="372" t="n">
        <x:f>B34*B35</x:f>
        <x:v>2486.3133990618417</x:v>
      </x:c>
      <x:c r="C36" s="258" t="str">
        <x:v>Calculated</x:v>
      </x:c>
      <x:c r="D36" s="14"/>
      <x:c r="E36" s="14"/>
      <x:c r="F36" s="14"/>
      <x:c r="G36" s="14"/>
      <x:c r="H36" s="14"/>
      <x:c r="I36" s="14"/>
      <x:c r="J36" s="14"/>
    </x:row>
    <x:row r="37" ht="17" customHeight="1">
      <x:c r="A37" s="255" t="str">
        <x:v>Present value of forecast UFCF</x:v>
      </x:c>
      <x:c r="B37" s="372" t="n">
        <x:f>SUM(B28:F28)</x:f>
        <x:v>1097.3638431020163</x:v>
      </x:c>
      <x:c r="C37" s="258" t="str">
        <x:v>Calculated</x:v>
      </x:c>
      <x:c r="D37" s="14"/>
      <x:c r="E37" s="14"/>
      <x:c r="F37" s="14"/>
      <x:c r="G37" s="14"/>
      <x:c r="H37" s="14"/>
      <x:c r="I37" s="14"/>
      <x:c r="J37" s="14"/>
    </x:row>
    <x:row r="38" ht="17" customHeight="1">
      <x:c r="A38" s="374" t="str">
        <x:v>Enterprise value</x:v>
      </x:c>
      <x:c r="B38" s="375" t="n">
        <x:f>SUM(B36:B37)</x:f>
        <x:v>3583.677242163858</x:v>
      </x:c>
      <x:c r="C38" s="376" t="str">
        <x:v>PV forecast + PV terminal</x:v>
      </x:c>
      <x:c r="D38" s="14"/>
      <x:c r="E38" s="14"/>
      <x:c r="F38" s="14"/>
      <x:c r="G38" s="14"/>
      <x:c r="H38" s="14"/>
      <x:c r="I38" s="14"/>
      <x:c r="J38" s="14"/>
    </x:row>
    <x:row r="39" ht="17" customHeight="1">
      <x:c r="A39" s="255" t="str">
        <x:v>Add: cash and investments</x:v>
      </x:c>
      <x:c r="B39" s="372" t="n">
        <x:f>B19</x:f>
        <x:v>755.013</x:v>
      </x:c>
      <x:c r="C39" s="258" t="str">
        <x:v>S-022</x:v>
      </x:c>
      <x:c r="D39" s="14"/>
      <x:c r="E39" s="14"/>
      <x:c r="F39" s="14"/>
      <x:c r="G39" s="14"/>
      <x:c r="H39" s="14"/>
      <x:c r="I39" s="14"/>
      <x:c r="J39" s="14"/>
    </x:row>
    <x:row r="40" ht="17" customHeight="1">
      <x:c r="A40" s="255" t="str">
        <x:v>Less: debt</x:v>
      </x:c>
      <x:c r="B40" s="372" t="n">
        <x:f>-B20</x:f>
        <x:v>0</x:v>
      </x:c>
      <x:c r="C40" s="258" t="str">
        <x:v>S-022</x:v>
      </x:c>
      <x:c r="D40" s="14"/>
      <x:c r="E40" s="14"/>
      <x:c r="F40" s="14"/>
      <x:c r="G40" s="14"/>
      <x:c r="H40" s="14"/>
      <x:c r="I40" s="14"/>
      <x:c r="J40" s="14"/>
    </x:row>
    <x:row r="41" ht="17" customHeight="1">
      <x:c r="A41" s="374" t="str">
        <x:v>Equity value</x:v>
      </x:c>
      <x:c r="B41" s="375" t="n">
        <x:f>SUM(B38:B40)</x:f>
        <x:v>4338.690242163858</x:v>
      </x:c>
      <x:c r="C41" s="376" t="str">
        <x:v>EV + cash − debt</x:v>
      </x:c>
      <x:c r="D41" s="14"/>
      <x:c r="E41" s="14"/>
      <x:c r="F41" s="14"/>
      <x:c r="G41" s="14"/>
      <x:c r="H41" s="14"/>
      <x:c r="I41" s="14"/>
      <x:c r="J41" s="14"/>
    </x:row>
    <x:row r="42" ht="17" customHeight="1">
      <x:c r="A42" s="255" t="str">
        <x:v>Diluted shares</x:v>
      </x:c>
      <x:c r="B42" s="377" t="n">
        <x:f>B21</x:f>
        <x:v>168.224</x:v>
      </x:c>
      <x:c r="C42" s="258" t="str">
        <x:v>S-022 proxy</x:v>
      </x:c>
      <x:c r="D42" s="14"/>
      <x:c r="E42" s="14"/>
      <x:c r="F42" s="14"/>
      <x:c r="G42" s="14"/>
      <x:c r="H42" s="14"/>
      <x:c r="I42" s="14"/>
      <x:c r="J42" s="14"/>
    </x:row>
    <x:row r="43" ht="17" customHeight="1">
      <x:c r="A43" s="378" t="str">
        <x:v>Implied value per share</x:v>
      </x:c>
      <x:c r="B43" s="379" t="n">
        <x:f>B41/B42</x:f>
        <x:v>25.791148957127746</x:v>
      </x:c>
      <x:c r="C43" s="380" t="str">
        <x:v>Equity value / shares</x:v>
      </x:c>
      <x:c r="D43" s="14"/>
      <x:c r="E43" s="14"/>
      <x:c r="F43" s="14"/>
      <x:c r="G43" s="14"/>
      <x:c r="H43" s="14"/>
      <x:c r="I43" s="14"/>
      <x:c r="J43" s="14"/>
    </x:row>
    <x:row r="44" ht="17" customHeight="1">
      <x:c r="A44" s="255" t="str">
        <x:v>Terminal value / enterprise value</x:v>
      </x:c>
      <x:c r="B44" s="371" t="n">
        <x:f>B36/B38</x:f>
        <x:v>0.6937883160372396</x:v>
      </x:c>
      <x:c r="C44" s="258" t="str">
        <x:v>PV terminal / EV</x:v>
      </x:c>
      <x:c r="D44" s="14"/>
      <x:c r="E44" s="14"/>
      <x:c r="F44" s="14"/>
      <x:c r="G44" s="14"/>
      <x:c r="H44" s="14"/>
      <x:c r="I44" s="14"/>
      <x:c r="J44" s="14"/>
    </x:row>
    <x:row r="45" ht="17" customHeight="1">
      <x:c r="A45" s="259" t="str">
        <x:v>Implied terminal EV / EBITDA</x:v>
      </x:c>
      <x:c r="B45" s="381" t="n">
        <x:f>B34/'CGNX Operating Model'!I32</x:f>
        <x:v>8.381110239947771</x:v>
      </x:c>
      <x:c r="C45" s="262" t="str">
        <x:v>Undiscounted terminal value / FY2030E EBITDA</x:v>
      </x:c>
      <x:c r="D45" s="14"/>
      <x:c r="E45" s="14"/>
      <x:c r="F45" s="14"/>
      <x:c r="G45" s="14"/>
      <x:c r="H45" s="14"/>
      <x:c r="I45" s="14"/>
      <x:c r="J45" s="14"/>
    </x:row>
    <x:row r="46" ht="17" customHeight="1">
      <x:c r="A46" s="14"/>
      <x:c r="B46" s="14"/>
      <x:c r="C46" s="14"/>
      <x:c r="D46" s="14"/>
      <x:c r="E46" s="14"/>
      <x:c r="F46" s="14"/>
      <x:c r="G46" s="14"/>
      <x:c r="H46" s="14"/>
      <x:c r="I46" s="14"/>
      <x:c r="J46" s="14"/>
    </x:row>
    <x:row r="47" ht="17" customHeight="1">
      <x:c r="A47" s="14"/>
      <x:c r="B47" s="14"/>
      <x:c r="C47" s="14"/>
      <x:c r="D47" s="14"/>
      <x:c r="E47" s="14"/>
      <x:c r="F47" s="14"/>
      <x:c r="G47" s="14"/>
      <x:c r="H47" s="14"/>
      <x:c r="I47" s="14"/>
      <x:c r="J47" s="14"/>
    </x:row>
    <x:row r="48" ht="17" customHeight="1">
      <x:c r="A48" s="351" t="str">
        <x:v>IMPLIED EQUITY VALUE PER SHARE SENSITIVITY</x:v>
      </x:c>
      <x:c r="B48" s="351"/>
      <x:c r="C48" s="351"/>
      <x:c r="D48" s="351"/>
      <x:c r="E48" s="351"/>
      <x:c r="F48" s="351"/>
      <x:c r="G48" s="351"/>
      <x:c r="H48" s="14"/>
      <x:c r="I48" s="14"/>
      <x:c r="J48" s="14"/>
    </x:row>
    <x:row r="49" ht="17" customHeight="1">
      <x:c r="A49" s="382" t="str">
        <x:v>WACC / TGR</x:v>
      </x:c>
      <x:c r="B49" s="383" t="n">
        <x:f>$B$18-0.01</x:f>
        <x:v>0.015000000000000001</x:v>
      </x:c>
      <x:c r="C49" s="383" t="n">
        <x:f>$B$18-0.005</x:f>
        <x:v>0.02</x:v>
      </x:c>
      <x:c r="D49" s="383" t="n">
        <x:f>$B$18</x:f>
        <x:v>0.025</x:v>
      </x:c>
      <x:c r="E49" s="383" t="n">
        <x:f>$B$18+0.005</x:f>
        <x:v>0.030000000000000002</x:v>
      </x:c>
      <x:c r="F49" s="383" t="n">
        <x:f>$B$18+0.01</x:f>
        <x:v>0.035</x:v>
      </x:c>
      <x:c r="G49" s="14"/>
      <x:c r="H49" s="14"/>
      <x:c r="I49" s="14"/>
      <x:c r="J49" s="14"/>
    </x:row>
    <x:row r="50" ht="17" customHeight="1">
      <x:c r="A50" s="383" t="n">
        <x:f>$B$17-0.02</x:f>
        <x:v>0.09375</x:v>
      </x:c>
      <x:c r="B50" s="384" t="n">
        <x:f>(($B$25/(1+$A50)^$B$26)+($C$25/(1+$A50)^$C$26)+($D$25/(1+$A50)^$D$26)+($E$25/(1+$A50)^$E$26)+($F$25/(1+$A50)^$F$26)+(($F$25*(1+B$49)/($A50-B$49))/(1+$A50)^$F$26)+$B$19-$B$20)/$B$21</x:f>
        <x:v>29.211272953243835</x:v>
      </x:c>
      <x:c r="C50" s="384" t="n">
        <x:f>(($B$25/(1+$A50)^$B$26)+($C$25/(1+$A50)^$C$26)+($D$25/(1+$A50)^$D$26)+($E$25/(1+$A50)^$E$26)+($F$25/(1+$A50)^$F$26)+(($F$25*(1+C$49)/($A50-C$49))/(1+$A50)^$F$26)+$B$19-$B$20)/$B$21</x:f>
        <x:v>30.51865140989616</x:v>
      </x:c>
      <x:c r="D50" s="384" t="n">
        <x:f>(($B$25/(1+$A50)^$B$26)+($C$25/(1+$A50)^$C$26)+($D$25/(1+$A50)^$D$26)+($E$25/(1+$A50)^$E$26)+($F$25/(1+$A50)^$F$26)+(($F$25*(1+D$49)/($A50-D$49))/(1+$A50)^$F$26)+$B$19-$B$20)/$B$21</x:f>
        <x:v>32.01619400569792</x:v>
      </x:c>
      <x:c r="E50" s="384" t="n">
        <x:f>(($B$25/(1+$A50)^$B$26)+($C$25/(1+$A50)^$C$26)+($D$25/(1+$A50)^$D$26)+($E$25/(1+$A50)^$E$26)+($F$25/(1+$A50)^$F$26)+(($F$25*(1+E$49)/($A50-E$49))/(1+$A50)^$F$26)+$B$19-$B$20)/$B$21</x:f>
        <x:v>33.74864524397839</x:v>
      </x:c>
      <x:c r="F50" s="384" t="n">
        <x:f>(($B$25/(1+$A50)^$B$26)+($C$25/(1+$A50)^$C$26)+($D$25/(1+$A50)^$D$26)+($E$25/(1+$A50)^$E$26)+($F$25/(1+$A50)^$F$26)+(($F$25*(1+F$49)/($A50-F$49))/(1+$A50)^$F$26)+$B$19-$B$20)/$B$21</x:f>
        <x:v>35.775981799412975</x:v>
      </x:c>
      <x:c r="G50" s="14"/>
      <x:c r="H50" s="14"/>
      <x:c r="I50" s="14"/>
      <x:c r="J50" s="14"/>
    </x:row>
    <x:row r="51" ht="17" customHeight="1">
      <x:c r="A51" s="383" t="n">
        <x:f>$B$17-0.01</x:f>
        <x:v>0.10375000000000001</x:v>
      </x:c>
      <x:c r="B51" s="384" t="n">
        <x:f>(($B$25/(1+$A51)^$B$26)+($C$25/(1+$A51)^$C$26)+($D$25/(1+$A51)^$D$26)+($E$25/(1+$A51)^$E$26)+($F$25/(1+$A51)^$F$26)+(($F$25*(1+B$49)/($A51-B$49))/(1+$A51)^$F$26)+$B$19-$B$20)/$B$21</x:f>
        <x:v>26.402469692674174</x:v>
      </x:c>
      <x:c r="C51" s="384" t="n">
        <x:f>(($B$25/(1+$A51)^$B$26)+($C$25/(1+$A51)^$C$26)+($D$25/(1+$A51)^$D$26)+($E$25/(1+$A51)^$E$26)+($F$25/(1+$A51)^$F$26)+(($F$25*(1+C$49)/($A51-C$49))/(1+$A51)^$F$26)+$B$19-$B$20)/$B$21</x:f>
        <x:v>27.391993977276222</x:v>
      </x:c>
      <x:c r="D51" s="384" t="n">
        <x:f>(($B$25/(1+$A51)^$B$26)+($C$25/(1+$A51)^$C$26)+($D$25/(1+$A51)^$D$26)+($E$25/(1+$A51)^$E$26)+($F$25/(1+$A51)^$F$26)+(($F$25*(1+D$49)/($A51-D$49))/(1+$A51)^$F$26)+$B$19-$B$20)/$B$21</x:f>
        <x:v>28.50717213928804</x:v>
      </x:c>
      <x:c r="E51" s="384" t="n">
        <x:f>(($B$25/(1+$A51)^$B$26)+($C$25/(1+$A51)^$C$26)+($D$25/(1+$A51)^$D$26)+($E$25/(1+$A51)^$E$26)+($F$25/(1+$A51)^$F$26)+(($F$25*(1+E$49)/($A51-E$49))/(1+$A51)^$F$26)+$B$19-$B$20)/$B$21</x:f>
        <x:v>29.773560899538765</x:v>
      </x:c>
      <x:c r="F51" s="384" t="n">
        <x:f>(($B$25/(1+$A51)^$B$26)+($C$25/(1+$A51)^$C$26)+($D$25/(1+$A51)^$D$26)+($E$25/(1+$A51)^$E$26)+($F$25/(1+$A51)^$F$26)+(($F$25*(1+F$49)/($A51-F$49))/(1+$A51)^$F$26)+$B$19-$B$20)/$B$21</x:f>
        <x:v>31.224151661280498</x:v>
      </x:c>
      <x:c r="G51" s="14"/>
      <x:c r="H51" s="14"/>
      <x:c r="I51" s="14"/>
      <x:c r="J51" s="14"/>
    </x:row>
    <x:row r="52" ht="17" customHeight="1">
      <x:c r="A52" s="383" t="n">
        <x:f>$B$17</x:f>
        <x:v>0.11375</x:v>
      </x:c>
      <x:c r="B52" s="384" t="n">
        <x:f>(($B$25/(1+$A52)^$B$26)+($C$25/(1+$A52)^$C$26)+($D$25/(1+$A52)^$D$26)+($E$25/(1+$A52)^$E$26)+($F$25/(1+$A52)^$F$26)+(($F$25*(1+B$49)/($A52-B$49))/(1+$A52)^$F$26)+$B$19-$B$20)/$B$21</x:f>
        <x:v>24.16487142340751</x:v>
      </x:c>
      <x:c r="C52" s="384" t="n">
        <x:f>(($B$25/(1+$A52)^$B$26)+($C$25/(1+$A52)^$C$26)+($D$25/(1+$A52)^$D$26)+($E$25/(1+$A52)^$E$26)+($F$25/(1+$A52)^$F$26)+(($F$25*(1+C$49)/($A52-C$49))/(1+$A52)^$F$26)+$B$19-$B$20)/$B$21</x:f>
        <x:v>24.93464278936843</x:v>
      </x:c>
      <x:c r="D52" s="385" t="n">
        <x:f>(($B$25/(1+$A52)^$B$26)+($C$25/(1+$A52)^$C$26)+($D$25/(1+$A52)^$D$26)+($E$25/(1+$A52)^$E$26)+($F$25/(1+$A52)^$F$26)+(($F$25*(1+D$49)/($A52-D$49))/(1+$A52)^$F$26)+$B$19-$B$20)/$B$21</x:f>
        <x:v>25.791148957127746</x:v>
      </x:c>
      <x:c r="E52" s="384" t="n">
        <x:f>(($B$25/(1+$A52)^$B$26)+($C$25/(1+$A52)^$C$26)+($D$25/(1+$A52)^$D$26)+($E$25/(1+$A52)^$E$26)+($F$25/(1+$A52)^$F$26)+(($F$25*(1+E$49)/($A52-E$49))/(1+$A52)^$F$26)+$B$19-$B$20)/$B$21</x:f>
        <x:v>26.74992451805237</x:v>
      </x:c>
      <x:c r="F52" s="384" t="n">
        <x:f>(($B$25/(1+$A52)^$B$26)+($C$25/(1+$A52)^$C$26)+($D$25/(1+$A52)^$D$26)+($E$25/(1+$A52)^$E$26)+($F$25/(1+$A52)^$F$26)+(($F$25*(1+F$49)/($A52-F$49))/(1+$A52)^$F$26)+$B$19-$B$20)/$B$21</x:f>
        <x:v>27.830449356554716</x:v>
      </x:c>
      <x:c r="G52" s="14"/>
      <x:c r="H52" s="14"/>
      <x:c r="I52" s="14"/>
      <x:c r="J52" s="14"/>
    </x:row>
    <x:row r="53" ht="17" customHeight="1">
      <x:c r="A53" s="383" t="n">
        <x:f>$B$17+0.01</x:f>
        <x:v>0.12375</x:v>
      </x:c>
      <x:c r="B53" s="384" t="n">
        <x:f>(($B$25/(1+$A53)^$B$26)+($C$25/(1+$A53)^$C$26)+($D$25/(1+$A53)^$D$26)+($E$25/(1+$A53)^$E$26)+($F$25/(1+$A53)^$F$26)+(($F$25*(1+B$49)/($A53-B$49))/(1+$A53)^$F$26)+$B$19-$B$20)/$B$21</x:f>
        <x:v>22.340808577765838</x:v>
      </x:c>
      <x:c r="C53" s="384" t="n">
        <x:f>(($B$25/(1+$A53)^$B$26)+($C$25/(1+$A53)^$C$26)+($D$25/(1+$A53)^$D$26)+($E$25/(1+$A53)^$E$26)+($F$25/(1+$A53)^$F$26)+(($F$25*(1+C$49)/($A53-C$49))/(1+$A53)^$F$26)+$B$19-$B$20)/$B$21</x:f>
        <x:v>22.952969785087355</x:v>
      </x:c>
      <x:c r="D53" s="384" t="n">
        <x:f>(($B$25/(1+$A53)^$B$26)+($C$25/(1+$A53)^$C$26)+($D$25/(1+$A53)^$D$26)+($E$25/(1+$A53)^$E$26)+($F$25/(1+$A53)^$F$26)+(($F$25*(1+D$49)/($A53-D$49))/(1+$A53)^$F$26)+$B$19-$B$20)/$B$21</x:f>
        <x:v>23.627122000745224</x:v>
      </x:c>
      <x:c r="E53" s="384" t="n">
        <x:f>(($B$25/(1+$A53)^$B$26)+($C$25/(1+$A53)^$C$26)+($D$25/(1+$A53)^$D$26)+($E$25/(1+$A53)^$E$26)+($F$25/(1+$A53)^$F$26)+(($F$25*(1+E$49)/($A53-E$49))/(1+$A53)^$F$26)+$B$19-$B$20)/$B$21</x:f>
        <x:v>24.373183786073277</x:v>
      </x:c>
      <x:c r="F53" s="384" t="n">
        <x:f>(($B$25/(1+$A53)^$B$26)+($C$25/(1+$A53)^$C$26)+($D$25/(1+$A53)^$D$26)+($E$25/(1+$A53)^$E$26)+($F$25/(1+$A53)^$F$26)+(($F$25*(1+F$49)/($A53-F$49))/(1+$A53)^$F$26)+$B$19-$B$20)/$B$21</x:f>
        <x:v>25.2033088711566</x:v>
      </x:c>
      <x:c r="G53" s="14"/>
      <x:c r="H53" s="14"/>
      <x:c r="I53" s="14"/>
      <x:c r="J53" s="14"/>
    </x:row>
    <x:row r="54" ht="17" customHeight="1">
      <x:c r="A54" s="383" t="n">
        <x:f>$B$17+0.02</x:f>
        <x:v>0.13375</x:v>
      </x:c>
      <x:c r="B54" s="384" t="n">
        <x:f>(($B$25/(1+$A54)^$B$26)+($C$25/(1+$A54)^$C$26)+($D$25/(1+$A54)^$D$26)+($E$25/(1+$A54)^$E$26)+($F$25/(1+$A54)^$F$26)+(($F$25*(1+B$49)/($A54-B$49))/(1+$A54)^$F$26)+$B$19-$B$20)/$B$21</x:f>
        <x:v>20.825725942147326</x:v>
      </x:c>
      <x:c r="C54" s="384" t="n">
        <x:f>(($B$25/(1+$A54)^$B$26)+($C$25/(1+$A54)^$C$26)+($D$25/(1+$A54)^$D$26)+($E$25/(1+$A54)^$E$26)+($F$25/(1+$A54)^$F$26)+(($F$25*(1+C$49)/($A54-C$49))/(1+$A54)^$F$26)+$B$19-$B$20)/$B$21</x:f>
        <x:v>21.321440380629777</x:v>
      </x:c>
      <x:c r="D54" s="384" t="n">
        <x:f>(($B$25/(1+$A54)^$B$26)+($C$25/(1+$A54)^$C$26)+($D$25/(1+$A54)^$D$26)+($E$25/(1+$A54)^$E$26)+($F$25/(1+$A54)^$F$26)+(($F$25*(1+D$49)/($A54-D$49))/(1+$A54)^$F$26)+$B$19-$B$20)/$B$21</x:f>
        <x:v>21.862737755984167</x:v>
      </x:c>
      <x:c r="E54" s="384" t="n">
        <x:f>(($B$25/(1+$A54)^$B$26)+($C$25/(1+$A54)^$C$26)+($D$25/(1+$A54)^$D$26)+($E$25/(1+$A54)^$E$26)+($F$25/(1+$A54)^$F$26)+(($F$25*(1+E$49)/($A54-E$49))/(1+$A54)^$F$26)+$B$19-$B$20)/$B$21</x:f>
        <x:v>22.45620837233658</x:v>
      </x:c>
      <x:c r="F54" s="384" t="n">
        <x:f>(($B$25/(1+$A54)^$B$26)+($C$25/(1+$A54)^$C$26)+($D$25/(1+$A54)^$D$26)+($E$25/(1+$A54)^$E$26)+($F$25/(1+$A54)^$F$26)+(($F$25*(1+F$49)/($A54-F$49))/(1+$A54)^$F$26)+$B$19-$B$20)/$B$21</x:f>
        <x:v>23.109777278952524</x:v>
      </x:c>
      <x:c r="G54" s="14"/>
      <x:c r="H54" s="14"/>
      <x:c r="I54" s="14"/>
      <x:c r="J54" s="14"/>
    </x:row>
    <x:row r="55" ht="17" customHeight="1">
      <x:c r="A55" s="14"/>
      <x:c r="B55" s="14"/>
      <x:c r="C55" s="14"/>
      <x:c r="D55" s="14"/>
      <x:c r="E55" s="14"/>
      <x:c r="F55" s="14"/>
      <x:c r="G55" s="14"/>
      <x:c r="H55" s="14"/>
      <x:c r="I55" s="14"/>
      <x:c r="J55" s="14"/>
    </x:row>
    <x:row r="56" ht="24" customHeight="1">
      <x:c r="A56" s="347" t="str">
        <x:v>Methodology note: The primary DCF uses the Gordon Growth method and a mid-year discounting convention. The direct observed beta is adjusted toward 1.0. Because Cognex has no funded debt, WACC is effectively its cost of equity. This is a standalone valuation: acquisition synergies and transaction financing are excluded.</x:v>
      </x:c>
      <x:c r="B56" s="347"/>
      <x:c r="C56" s="347"/>
      <x:c r="D56" s="347"/>
      <x:c r="E56" s="347"/>
      <x:c r="F56" s="347"/>
      <x:c r="G56" s="347"/>
      <x:c r="H56" s="14"/>
      <x:c r="I56" s="14"/>
      <x:c r="J56" s="14"/>
    </x:row>
    <x:row r="57" ht="24" customHeight="1">
      <x:c r="A57" s="347"/>
      <x:c r="B57" s="347"/>
      <x:c r="C57" s="347"/>
      <x:c r="D57" s="347"/>
      <x:c r="E57" s="347"/>
      <x:c r="F57" s="347"/>
      <x:c r="G57" s="347"/>
      <x:c r="H57" s="14"/>
      <x:c r="I57" s="14"/>
      <x:c r="J57" s="14"/>
    </x:row>
  </x:sheetData>
  <x:mergeCells>
    <x:mergeCell ref="A1:J1"/>
    <x:mergeCell ref="A2:J2"/>
    <x:mergeCell ref="B3:J3"/>
    <x:mergeCell ref="A5:E5"/>
    <x:mergeCell ref="G5:J5"/>
    <x:mergeCell ref="A23:G23"/>
    <x:mergeCell ref="A30:E30"/>
    <x:mergeCell ref="A48:G48"/>
    <x:mergeCell ref="A56:G57"/>
  </x:mergeCells>
  <x:pageMargins left="0.7" right="0.7" top="0.75" bottom="0.75" header="0.3" footer="0.3"/>
  <x:legacyDrawing xmlns:r="http://schemas.openxmlformats.org/officeDocument/2006/relationships" r:id="R64f986a9723f4d82"/>
</x:worksheet>
</file>

<file path=xl/worksheets/sheet9.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30" hidden="0" customWidth="1"/>
    <x:col min="4" max="4" width="10" hidden="0" customWidth="1"/>
    <x:col min="5" max="5" width="16" hidden="0" customWidth="1"/>
    <x:col min="6" max="6" width="18" hidden="0" customWidth="1"/>
    <x:col min="7" max="7" width="14" hidden="0" customWidth="1"/>
    <x:col min="8" max="8" width="13" hidden="0" customWidth="1"/>
    <x:col min="9" max="9" width="14" hidden="0" customWidth="1"/>
    <x:col min="10" max="10" width="15" hidden="0" customWidth="1"/>
    <x:col min="11" max="11" width="13" hidden="0" customWidth="1"/>
    <x:col min="12" max="12" width="12" hidden="0" customWidth="1"/>
    <x:col min="13" max="13" width="12" hidden="0" customWidth="1"/>
    <x:col min="14" max="14" width="44" hidden="0" customWidth="1"/>
  </x:cols>
  <x:sheetData>
    <x:row r="1" ht="28" customHeight="1">
      <x:c r="A1" s="430" t="str">
        <x:v>Trading Comparable Companies</x:v>
      </x:c>
      <x:c r="B1" s="430"/>
      <x:c r="C1" s="430"/>
      <x:c r="D1" s="430"/>
      <x:c r="E1" s="430"/>
      <x:c r="F1" s="430"/>
      <x:c r="G1" s="430"/>
      <x:c r="H1" s="430"/>
      <x:c r="I1" s="430"/>
      <x:c r="J1" s="430"/>
      <x:c r="K1" s="430"/>
      <x:c r="L1" s="430"/>
      <x:c r="M1" s="430"/>
      <x:c r="N1" s="430"/>
    </x:row>
    <x:row r="2" ht="18" customHeight="1">
      <x:c r="A2" s="431" t="str">
        <x:v>Public-company benchmarking and implied standalone valuation of Cognex | Market data as of August 2026</x:v>
      </x:c>
      <x:c r="B2" s="431"/>
      <x:c r="C2" s="431"/>
      <x:c r="D2" s="431"/>
      <x:c r="E2" s="431"/>
      <x:c r="F2" s="431"/>
      <x:c r="G2" s="431"/>
      <x:c r="H2" s="431"/>
      <x:c r="I2" s="431"/>
      <x:c r="J2" s="431"/>
      <x:c r="K2" s="431"/>
      <x:c r="L2" s="431"/>
      <x:c r="M2" s="431"/>
      <x:c r="N2" s="431"/>
    </x:row>
    <x:row r="3" ht="18" customHeight="1">
      <x:c r="A3" s="432" t="str">
        <x:v>Status</x:v>
      </x:c>
      <x:c r="B3" s="433" t="str">
        <x:v>Complete — seven-company industrial technology peer set with quartile valuation ranges</x:v>
      </x:c>
      <x:c r="C3" s="433"/>
      <x:c r="D3" s="433"/>
      <x:c r="E3" s="433"/>
      <x:c r="F3" s="433"/>
      <x:c r="G3" s="433"/>
      <x:c r="H3" s="433"/>
      <x:c r="I3" s="433"/>
      <x:c r="J3" s="433"/>
      <x:c r="K3" s="433"/>
      <x:c r="L3" s="433"/>
      <x:c r="M3" s="433"/>
      <x:c r="N3" s="433"/>
    </x:row>
    <x:row r="4" ht="18" customHeight="1">
      <x:c r="A4" s="51"/>
      <x:c r="B4" s="51"/>
      <x:c r="C4" s="51"/>
      <x:c r="D4" s="51"/>
      <x:c r="E4" s="51"/>
      <x:c r="F4" s="51"/>
      <x:c r="G4" s="51"/>
      <x:c r="H4" s="51"/>
      <x:c r="I4" s="51"/>
      <x:c r="J4" s="51"/>
      <x:c r="K4" s="51"/>
      <x:c r="L4" s="51"/>
      <x:c r="M4" s="51"/>
      <x:c r="N4" s="51"/>
    </x:row>
    <x:row r="5" ht="18" customHeight="1">
      <x:c r="A5" s="434" t="str">
        <x:v>PUBLIC COMPANY COMPARABLES</x:v>
      </x:c>
      <x:c r="B5" s="434"/>
      <x:c r="C5" s="434"/>
      <x:c r="D5" s="434"/>
      <x:c r="E5" s="434"/>
      <x:c r="F5" s="434"/>
      <x:c r="G5" s="434"/>
      <x:c r="H5" s="434"/>
      <x:c r="I5" s="434"/>
      <x:c r="J5" s="434"/>
      <x:c r="K5" s="434"/>
      <x:c r="L5" s="434"/>
      <x:c r="M5" s="434"/>
      <x:c r="N5" s="434"/>
    </x:row>
    <x:row r="6" ht="34" customHeight="1">
      <x:c r="A6" s="435" t="str">
        <x:v>Company</x:v>
      </x:c>
      <x:c r="B6" s="435" t="str">
        <x:v>Ticker</x:v>
      </x:c>
      <x:c r="C6" s="435" t="str">
        <x:v>Peer classification</x:v>
      </x:c>
      <x:c r="D6" s="460" t="str">
        <x:v>Currency</x:v>
      </x:c>
      <x:c r="E6" s="460" t="str">
        <x:v>Equity value
(LC mm)</x:v>
      </x:c>
      <x:c r="F6" s="460" t="str">
        <x:v>Enterprise value
(LC mm)</x:v>
      </x:c>
      <x:c r="G6" s="460" t="str">
        <x:v>EBITDA margin</x:v>
      </x:c>
      <x:c r="H6" s="460" t="str">
        <x:v>EBIT margin</x:v>
      </x:c>
      <x:c r="I6" s="460" t="str">
        <x:v>EV / Revenue</x:v>
      </x:c>
      <x:c r="J6" s="460" t="str">
        <x:v>EV / EBITDA</x:v>
      </x:c>
      <x:c r="K6" s="460" t="str">
        <x:v>EV / EBIT</x:v>
      </x:c>
      <x:c r="L6" s="460" t="str">
        <x:v>P / E</x:v>
      </x:c>
      <x:c r="M6" s="460" t="str">
        <x:v>Source</x:v>
      </x:c>
      <x:c r="N6" s="435" t="str">
        <x:v>Comments</x:v>
      </x:c>
    </x:row>
    <x:row r="7" ht="18" customHeight="1">
      <x:c r="A7" s="436" t="str">
        <x:v>Keyence Corporation</x:v>
      </x:c>
      <x:c r="B7" s="436" t="str">
        <x:v>6861.T</x:v>
      </x:c>
      <x:c r="C7" s="436" t="str">
        <x:v>Closest strategic / machine vision</x:v>
      </x:c>
      <x:c r="D7" s="461" t="str">
        <x:v>JPY</x:v>
      </x:c>
      <x:c r="E7" s="462" t="n">
        <x:v>19569349</x:v>
      </x:c>
      <x:c r="F7" s="462" t="n">
        <x:v>18142755</x:v>
      </x:c>
      <x:c r="G7" s="463"/>
      <x:c r="H7" s="463" t="n">
        <x:v>0.5208</x:v>
      </x:c>
      <x:c r="I7" s="464" t="n">
        <x:v>14.46</x:v>
      </x:c>
      <x:c r="J7" s="464"/>
      <x:c r="K7" s="464" t="n">
        <x:v>27.48</x:v>
      </x:c>
      <x:c r="L7" s="464" t="n">
        <x:v>39.76</x:v>
      </x:c>
      <x:c r="M7" s="461" t="str">
        <x:v>S-032</x:v>
      </x:c>
      <x:c r="N7" s="437" t="str">
        <x:v>Closest product fit; premium growth and margin outlier</x:v>
      </x:c>
    </x:row>
    <x:row r="8" ht="18" customHeight="1">
      <x:c r="A8" s="436" t="str">
        <x:v>Teledyne Technologies</x:v>
      </x:c>
      <x:c r="B8" s="436" t="str">
        <x:v>TDY</x:v>
      </x:c>
      <x:c r="C8" s="436" t="str">
        <x:v>Imaging / instrumentation</x:v>
      </x:c>
      <x:c r="D8" s="461" t="str">
        <x:v>USD</x:v>
      </x:c>
      <x:c r="E8" s="462" t="n">
        <x:v>31510</x:v>
      </x:c>
      <x:c r="F8" s="462" t="n">
        <x:v>33190</x:v>
      </x:c>
      <x:c r="G8" s="463" t="n">
        <x:v>0.2498</x:v>
      </x:c>
      <x:c r="H8" s="463" t="n">
        <x:v>0.1962</x:v>
      </x:c>
      <x:c r="I8" s="464" t="n">
        <x:v>5.21</x:v>
      </x:c>
      <x:c r="J8" s="464" t="n">
        <x:v>20.84</x:v>
      </x:c>
      <x:c r="K8" s="464" t="n">
        <x:v>26.55</x:v>
      </x:c>
      <x:c r="L8" s="464" t="n">
        <x:v>32.88</x:v>
      </x:c>
      <x:c r="M8" s="461" t="str">
        <x:v>S-033</x:v>
      </x:c>
      <x:c r="N8" s="437" t="str">
        <x:v>High-quality imaging and sensing reference</x:v>
      </x:c>
    </x:row>
    <x:row r="9" ht="18" customHeight="1">
      <x:c r="A9" s="436" t="str">
        <x:v>Zebra Technologies</x:v>
      </x:c>
      <x:c r="B9" s="436" t="str">
        <x:v>ZBRA</x:v>
      </x:c>
      <x:c r="C9" s="436" t="str">
        <x:v>Machine vision / data capture</x:v>
      </x:c>
      <x:c r="D9" s="461" t="str">
        <x:v>USD</x:v>
      </x:c>
      <x:c r="E9" s="462" t="n">
        <x:v>17790</x:v>
      </x:c>
      <x:c r="F9" s="462" t="n">
        <x:v>20600</x:v>
      </x:c>
      <x:c r="G9" s="463" t="n">
        <x:v>0.2025</x:v>
      </x:c>
      <x:c r="H9" s="463" t="n">
        <x:v>0.1659</x:v>
      </x:c>
      <x:c r="I9" s="464" t="n">
        <x:v>3.52</x:v>
      </x:c>
      <x:c r="J9" s="464" t="n">
        <x:v>17.39</x:v>
      </x:c>
      <x:c r="K9" s="464" t="n">
        <x:v>21.23</x:v>
      </x:c>
      <x:c r="L9" s="464" t="n">
        <x:v>34.78</x:v>
      </x:c>
      <x:c r="M9" s="461" t="str">
        <x:v>S-034</x:v>
      </x:c>
      <x:c r="N9" s="437" t="str">
        <x:v>Direct exposure to machine vision and barcode capture</x:v>
      </x:c>
    </x:row>
    <x:row r="10" ht="18" customHeight="1">
      <x:c r="A10" s="436" t="str">
        <x:v>AMETEK</x:v>
      </x:c>
      <x:c r="B10" s="436" t="str">
        <x:v>AME</x:v>
      </x:c>
      <x:c r="C10" s="436" t="str">
        <x:v>Precision instruments / automation</x:v>
      </x:c>
      <x:c r="D10" s="461" t="str">
        <x:v>USD</x:v>
      </x:c>
      <x:c r="E10" s="462" t="n">
        <x:v>59270</x:v>
      </x:c>
      <x:c r="F10" s="462" t="n">
        <x:v>61080</x:v>
      </x:c>
      <x:c r="G10" s="463" t="n">
        <x:v>0.3125</x:v>
      </x:c>
      <x:c r="H10" s="463" t="n">
        <x:v>0.2591</x:v>
      </x:c>
      <x:c r="I10" s="464" t="n">
        <x:v>7.77</x:v>
      </x:c>
      <x:c r="J10" s="464" t="n">
        <x:v>24.86</x:v>
      </x:c>
      <x:c r="K10" s="464" t="n">
        <x:v>29.99</x:v>
      </x:c>
      <x:c r="L10" s="464" t="n">
        <x:v>37.8</x:v>
      </x:c>
      <x:c r="M10" s="461" t="str">
        <x:v>S-035</x:v>
      </x:c>
      <x:c r="N10" s="437" t="str">
        <x:v>Premium diversified instrumentation compounder</x:v>
      </x:c>
    </x:row>
    <x:row r="11" ht="18" customHeight="1">
      <x:c r="A11" s="436" t="str">
        <x:v>Fortive</x:v>
      </x:c>
      <x:c r="B11" s="436" t="str">
        <x:v>FTV</x:v>
      </x:c>
      <x:c r="C11" s="436" t="str">
        <x:v>Industrial technology / instrumentation</x:v>
      </x:c>
      <x:c r="D11" s="461" t="str">
        <x:v>USD</x:v>
      </x:c>
      <x:c r="E11" s="462" t="n">
        <x:v>18590</x:v>
      </x:c>
      <x:c r="F11" s="462" t="n">
        <x:v>21810</x:v>
      </x:c>
      <x:c r="G11" s="463" t="n">
        <x:v>0.2731</x:v>
      </x:c>
      <x:c r="H11" s="463" t="n">
        <x:v>0.1824</x:v>
      </x:c>
      <x:c r="I11" s="464" t="n">
        <x:v>5.05</x:v>
      </x:c>
      <x:c r="J11" s="464" t="n">
        <x:v>18.5</x:v>
      </x:c>
      <x:c r="K11" s="464" t="n">
        <x:v>27.72</x:v>
      </x:c>
      <x:c r="L11" s="464" t="n">
        <x:v>32.43</x:v>
      </x:c>
      <x:c r="M11" s="461" t="str">
        <x:v>S-036</x:v>
      </x:c>
      <x:c r="N11" s="437" t="str">
        <x:v>Broader industrial technology reference</x:v>
      </x:c>
    </x:row>
    <x:row r="12" ht="18" customHeight="1">
      <x:c r="A12" s="436" t="str">
        <x:v>Trimble</x:v>
      </x:c>
      <x:c r="B12" s="436" t="str">
        <x:v>TRMB</x:v>
      </x:c>
      <x:c r="C12" s="436" t="str">
        <x:v>Industrial software / sensing</x:v>
      </x:c>
      <x:c r="D12" s="461" t="str">
        <x:v>USD</x:v>
      </x:c>
      <x:c r="E12" s="462" t="n">
        <x:v>13430</x:v>
      </x:c>
      <x:c r="F12" s="462" t="n">
        <x:v>14680</x:v>
      </x:c>
      <x:c r="G12" s="463" t="n">
        <x:v>0.2327</x:v>
      </x:c>
      <x:c r="H12" s="463" t="n">
        <x:v>0.1792</x:v>
      </x:c>
      <x:c r="I12" s="464" t="n">
        <x:v>3.88</x:v>
      </x:c>
      <x:c r="J12" s="464" t="n">
        <x:v>16.68</x:v>
      </x:c>
      <x:c r="K12" s="464" t="n">
        <x:v>21.65</x:v>
      </x:c>
      <x:c r="L12" s="464"/>
      <x:c r="M12" s="461" t="str">
        <x:v>S-037</x:v>
      </x:c>
      <x:c r="N12" s="437" t="str">
        <x:v>Technology-enabled industrial workflow reference; LTM P/E is NM</x:v>
      </x:c>
    </x:row>
    <x:row r="13" ht="18" customHeight="1">
      <x:c r="A13" s="436" t="str">
        <x:v>Rockwell Automation</x:v>
      </x:c>
      <x:c r="B13" s="436" t="str">
        <x:v>ROK</x:v>
      </x:c>
      <x:c r="C13" s="436" t="str">
        <x:v>Industrial automation platform</x:v>
      </x:c>
      <x:c r="D13" s="461" t="str">
        <x:v>USD</x:v>
      </x:c>
      <x:c r="E13" s="462" t="n">
        <x:v>50130</x:v>
      </x:c>
      <x:c r="F13" s="462" t="n">
        <x:v>53260</x:v>
      </x:c>
      <x:c r="G13" s="463" t="n">
        <x:v>0.2086</x:v>
      </x:c>
      <x:c r="H13" s="463" t="n">
        <x:v>0.1726</x:v>
      </x:c>
      <x:c r="I13" s="464" t="n">
        <x:v>5.94</x:v>
      </x:c>
      <x:c r="J13" s="464" t="n">
        <x:v>28.48</x:v>
      </x:c>
      <x:c r="K13" s="464" t="n">
        <x:v>34.41</x:v>
      </x:c>
      <x:c r="L13" s="464" t="n">
        <x:v>42.3</x:v>
      </x:c>
      <x:c r="M13" s="461" t="str">
        <x:v>S-038</x:v>
      </x:c>
      <x:c r="N13" s="437" t="str">
        <x:v>Potential buyer and broader automation benchmark</x:v>
      </x:c>
    </x:row>
    <x:row r="14" ht="18" customHeight="1">
      <x:c r="A14" s="51"/>
      <x:c r="B14" s="51"/>
      <x:c r="C14" s="51"/>
      <x:c r="D14" s="53"/>
      <x:c r="E14" s="53"/>
      <x:c r="F14" s="53"/>
      <x:c r="G14" s="53"/>
      <x:c r="H14" s="53"/>
      <x:c r="I14" s="465"/>
      <x:c r="J14" s="465"/>
      <x:c r="K14" s="465"/>
      <x:c r="L14" s="465"/>
      <x:c r="M14" s="53"/>
      <x:c r="N14" s="51"/>
    </x:row>
    <x:row r="15" ht="18" customHeight="1">
      <x:c r="A15" s="434" t="str">
        <x:v>SELECTED TRADING STATISTICS</x:v>
      </x:c>
      <x:c r="B15" s="434"/>
      <x:c r="C15" s="434"/>
      <x:c r="D15" s="466"/>
      <x:c r="E15" s="466"/>
      <x:c r="F15" s="466"/>
      <x:c r="G15" s="466"/>
      <x:c r="H15" s="466"/>
      <x:c r="I15" s="467" t="str">
        <x:v>EV / Revenue</x:v>
      </x:c>
      <x:c r="J15" s="467" t="str">
        <x:v>EV / EBITDA</x:v>
      </x:c>
      <x:c r="K15" s="467" t="str">
        <x:v>EV / EBIT</x:v>
      </x:c>
      <x:c r="L15" s="467" t="str">
        <x:v>P / E</x:v>
      </x:c>
      <x:c r="M15" s="53"/>
      <x:c r="N15" s="51"/>
    </x:row>
    <x:row r="16" ht="18" customHeight="1">
      <x:c r="A16" s="443" t="str">
        <x:v>Minimum</x:v>
      </x:c>
      <x:c r="B16" s="443"/>
      <x:c r="C16" s="443"/>
      <x:c r="D16" s="468"/>
      <x:c r="E16" s="468"/>
      <x:c r="F16" s="468"/>
      <x:c r="G16" s="468"/>
      <x:c r="H16" s="468"/>
      <x:c r="I16" s="469" t="n">
        <x:f>MIN(I$7:I$13)</x:f>
        <x:v>3.52</x:v>
      </x:c>
      <x:c r="J16" s="469" t="n">
        <x:f>MIN(J$7:J$13)</x:f>
        <x:v>16.68</x:v>
      </x:c>
      <x:c r="K16" s="469" t="n">
        <x:f>MIN(K$7:K$13)</x:f>
        <x:v>21.23</x:v>
      </x:c>
      <x:c r="L16" s="469" t="n">
        <x:f>MIN(L$7:L$13)</x:f>
        <x:v>32.43</x:v>
      </x:c>
      <x:c r="M16" s="53" t="str">
        <x:v>Keyence excluded only where data are unavailable (EV/EBITDA).</x:v>
      </x:c>
      <x:c r="N16" s="51"/>
    </x:row>
    <x:row r="17" ht="18" customHeight="1">
      <x:c r="A17" s="443" t="str">
        <x:v>25th percentile</x:v>
      </x:c>
      <x:c r="B17" s="443"/>
      <x:c r="C17" s="443"/>
      <x:c r="D17" s="468"/>
      <x:c r="E17" s="468"/>
      <x:c r="F17" s="468"/>
      <x:c r="G17" s="468"/>
      <x:c r="H17" s="468"/>
      <x:c r="I17" s="469" t="n">
        <x:f>PERCENTILE.INC(I$7:I$13,25%)</x:f>
        <x:v>4.465</x:v>
      </x:c>
      <x:c r="J17" s="469" t="n">
        <x:f>PERCENTILE.INC(J$7:J$13,25%)</x:f>
        <x:v>17.6675</x:v>
      </x:c>
      <x:c r="K17" s="469" t="n">
        <x:f>PERCENTILE.INC(K$7:K$13,25%)</x:f>
        <x:v>24.1</x:v>
      </x:c>
      <x:c r="L17" s="469" t="n">
        <x:f>PERCENTILE.INC(L$7:L$13,25%)</x:f>
        <x:v>33.35500000000001</x:v>
      </x:c>
      <x:c r="M17" s="53"/>
      <x:c r="N17" s="51"/>
    </x:row>
    <x:row r="18" ht="18" customHeight="1">
      <x:c r="A18" s="445" t="str">
        <x:v>Median</x:v>
      </x:c>
      <x:c r="B18" s="445"/>
      <x:c r="C18" s="445"/>
      <x:c r="D18" s="470"/>
      <x:c r="E18" s="470"/>
      <x:c r="F18" s="470"/>
      <x:c r="G18" s="470"/>
      <x:c r="H18" s="470"/>
      <x:c r="I18" s="471" t="n">
        <x:f>MEDIAN(I$7:I$13)</x:f>
        <x:v>5.21</x:v>
      </x:c>
      <x:c r="J18" s="471" t="n">
        <x:f>MEDIAN(J$7:J$13)</x:f>
        <x:v>19.67</x:v>
      </x:c>
      <x:c r="K18" s="471" t="n">
        <x:f>MEDIAN(K$7:K$13)</x:f>
        <x:v>27.48</x:v>
      </x:c>
      <x:c r="L18" s="471" t="n">
        <x:f>MEDIAN(L$7:L$13)</x:f>
        <x:v>36.29</x:v>
      </x:c>
      <x:c r="M18" s="53"/>
      <x:c r="N18" s="51"/>
    </x:row>
    <x:row r="19" ht="18" customHeight="1">
      <x:c r="A19" s="443" t="str">
        <x:v>75th percentile</x:v>
      </x:c>
      <x:c r="B19" s="443"/>
      <x:c r="C19" s="443"/>
      <x:c r="D19" s="468"/>
      <x:c r="E19" s="468"/>
      <x:c r="F19" s="468"/>
      <x:c r="G19" s="468"/>
      <x:c r="H19" s="468"/>
      <x:c r="I19" s="469" t="n">
        <x:f>PERCENTILE.INC(I$7:I$13,75%)</x:f>
        <x:v>6.855</x:v>
      </x:c>
      <x:c r="J19" s="469" t="n">
        <x:f>PERCENTILE.INC(J$7:J$13,75%)</x:f>
        <x:v>23.855</x:v>
      </x:c>
      <x:c r="K19" s="469" t="n">
        <x:f>PERCENTILE.INC(K$7:K$13,75%)</x:f>
        <x:v>28.855</x:v>
      </x:c>
      <x:c r="L19" s="469" t="n">
        <x:f>PERCENTILE.INC(L$7:L$13,75%)</x:f>
        <x:v>39.27</x:v>
      </x:c>
      <x:c r="M19" s="53"/>
      <x:c r="N19" s="51"/>
    </x:row>
    <x:row r="20" ht="18" customHeight="1">
      <x:c r="A20" s="443" t="str">
        <x:v>Maximum</x:v>
      </x:c>
      <x:c r="B20" s="443"/>
      <x:c r="C20" s="443"/>
      <x:c r="D20" s="468"/>
      <x:c r="E20" s="468"/>
      <x:c r="F20" s="468"/>
      <x:c r="G20" s="468"/>
      <x:c r="H20" s="468"/>
      <x:c r="I20" s="469" t="n">
        <x:f>MAX(I$7:I$13)</x:f>
        <x:v>14.46</x:v>
      </x:c>
      <x:c r="J20" s="469" t="n">
        <x:f>MAX(J$7:J$13)</x:f>
        <x:v>28.48</x:v>
      </x:c>
      <x:c r="K20" s="469" t="n">
        <x:f>MAX(K$7:K$13)</x:f>
        <x:v>34.41</x:v>
      </x:c>
      <x:c r="L20" s="469" t="n">
        <x:f>MAX(L$7:L$13)</x:f>
        <x:v>42.3</x:v>
      </x:c>
      <x:c r="M20" s="53"/>
      <x:c r="N20" s="51"/>
    </x:row>
    <x:row r="21" ht="18" customHeight="1">
      <x:c r="A21" s="51"/>
      <x:c r="B21" s="51"/>
      <x:c r="C21" s="51"/>
      <x:c r="D21" s="53"/>
      <x:c r="E21" s="53"/>
      <x:c r="F21" s="53"/>
      <x:c r="G21" s="53"/>
      <x:c r="H21" s="53"/>
      <x:c r="I21" s="53"/>
      <x:c r="J21" s="53"/>
      <x:c r="K21" s="53"/>
      <x:c r="L21" s="53"/>
      <x:c r="M21" s="53"/>
      <x:c r="N21" s="51"/>
    </x:row>
    <x:row r="22" ht="18" customHeight="1">
      <x:c r="A22" s="434" t="str">
        <x:v>COGNEX FY2026E TARGET METRICS</x:v>
      </x:c>
      <x:c r="B22" s="434"/>
      <x:c r="C22" s="434"/>
      <x:c r="D22" s="466"/>
      <x:c r="E22" s="466"/>
      <x:c r="F22" s="466"/>
      <x:c r="G22" s="53"/>
      <x:c r="H22" s="466" t="str">
        <x:v>KEY OUTPUTS</x:v>
      </x:c>
      <x:c r="I22" s="466"/>
      <x:c r="J22" s="466"/>
      <x:c r="K22" s="466"/>
      <x:c r="L22" s="466"/>
      <x:c r="M22" s="466"/>
      <x:c r="N22" s="434"/>
    </x:row>
    <x:row r="23" ht="18" customHeight="1">
      <x:c r="A23" s="447" t="str">
        <x:v>Metric</x:v>
      </x:c>
      <x:c r="B23" s="447" t="str">
        <x:v>Value</x:v>
      </x:c>
      <x:c r="C23" s="447" t="str">
        <x:v>Units</x:v>
      </x:c>
      <x:c r="D23" s="472" t="str">
        <x:v>Source / methodology</x:v>
      </x:c>
      <x:c r="E23" s="53"/>
      <x:c r="F23" s="53"/>
      <x:c r="G23" s="53"/>
      <x:c r="H23" s="468" t="str">
        <x:v>DCF implied value / share</x:v>
      </x:c>
      <x:c r="I23" s="473" t="n">
        <x:f>'DCF'!H8</x:f>
        <x:v>25.791148957127746</x:v>
      </x:c>
      <x:c r="J23" s="468" t="str">
        <x:v>Standalone DCF reference</x:v>
      </x:c>
      <x:c r="K23" s="468"/>
      <x:c r="L23" s="468"/>
      <x:c r="M23" s="468"/>
      <x:c r="N23" s="443"/>
    </x:row>
    <x:row r="24" ht="18" customHeight="1">
      <x:c r="A24" s="443" t="str">
        <x:v>Revenue</x:v>
      </x:c>
      <x:c r="B24" s="449" t="n">
        <x:f>'CGNX Operating Model'!E20</x:f>
        <x:v>1140</x:v>
      </x:c>
      <x:c r="C24" s="443" t="str">
        <x:v>$mm</x:v>
      </x:c>
      <x:c r="D24" s="468" t="str">
        <x:v>CGNX Operating Model FY2026E</x:v>
      </x:c>
      <x:c r="E24" s="53"/>
      <x:c r="F24" s="53"/>
      <x:c r="G24" s="53"/>
      <x:c r="H24" s="468" t="str">
        <x:v>Broad comps low</x:v>
      </x:c>
      <x:c r="I24" s="473" t="n">
        <x:f>MIN(G35:G38)</x:f>
        <x:v>34.7460112706867</x:v>
      </x:c>
      <x:c r="J24" s="468" t="str">
        <x:v>Lowest 25th-percentile indication</x:v>
      </x:c>
      <x:c r="K24" s="468"/>
      <x:c r="L24" s="468"/>
      <x:c r="M24" s="468"/>
      <x:c r="N24" s="443"/>
    </x:row>
    <x:row r="25" ht="18" customHeight="1">
      <x:c r="A25" s="443" t="str">
        <x:v>EBITDA</x:v>
      </x:c>
      <x:c r="B25" s="449" t="n">
        <x:f>'CGNX Operating Model'!E32</x:f>
        <x:v>330.59999999999997</x:v>
      </x:c>
      <x:c r="C25" s="443" t="str">
        <x:v>$mm</x:v>
      </x:c>
      <x:c r="D25" s="468" t="str">
        <x:v>CGNX Operating Model FY2026E</x:v>
      </x:c>
      <x:c r="E25" s="53"/>
      <x:c r="F25" s="53"/>
      <x:c r="G25" s="53"/>
      <x:c r="H25" s="468" t="str">
        <x:v>Broad comps high</x:v>
      </x:c>
      <x:c r="I25" s="473" t="n">
        <x:f>MAX(I35:I38)</x:f>
        <x:v>58.73871533415601</x:v>
      </x:c>
      <x:c r="J25" s="468" t="str">
        <x:v>Highest 75th-percentile indication</x:v>
      </x:c>
      <x:c r="K25" s="468"/>
      <x:c r="L25" s="468"/>
      <x:c r="M25" s="468"/>
      <x:c r="N25" s="443"/>
    </x:row>
    <x:row r="26" ht="18" customHeight="1">
      <x:c r="A26" s="443" t="str">
        <x:v>EBIT</x:v>
      </x:c>
      <x:c r="B26" s="449" t="n">
        <x:f>'CGNX Operating Model'!E29</x:f>
        <x:v>296.4</x:v>
      </x:c>
      <x:c r="C26" s="443" t="str">
        <x:v>$mm</x:v>
      </x:c>
      <x:c r="D26" s="468" t="str">
        <x:v>CGNX Operating Model FY2026E</x:v>
      </x:c>
      <x:c r="E26" s="53"/>
      <x:c r="F26" s="53"/>
      <x:c r="G26" s="53"/>
      <x:c r="H26" s="468" t="str">
        <x:v>Core median low</x:v>
      </x:c>
      <x:c r="I26" s="473" t="n">
        <x:f>MIN(H35:H36)</x:f>
        <x:v>39.79463691268784</x:v>
      </x:c>
      <x:c r="J26" s="468" t="str">
        <x:v>Lower median of EV/Revenue and EV/EBITDA</x:v>
      </x:c>
      <x:c r="K26" s="468"/>
      <x:c r="L26" s="468"/>
      <x:c r="M26" s="468"/>
      <x:c r="N26" s="443"/>
    </x:row>
    <x:row r="27" ht="18" customHeight="1">
      <x:c r="A27" s="443" t="str">
        <x:v>Net income</x:v>
      </x:c>
      <x:c r="B27" s="449" t="n">
        <x:f>'CGNX Operating Model'!E37</x:f>
        <x:v>250.8</x:v>
      </x:c>
      <x:c r="C27" s="443" t="str">
        <x:v>$mm</x:v>
      </x:c>
      <x:c r="D27" s="468" t="str">
        <x:v>CGNX Operating Model FY2026E</x:v>
      </x:c>
      <x:c r="E27" s="53"/>
      <x:c r="F27" s="53"/>
      <x:c r="G27" s="53"/>
      <x:c r="H27" s="468" t="str">
        <x:v>Core median high</x:v>
      </x:c>
      <x:c r="I27" s="473" t="n">
        <x:f>MAX(H35:H36)</x:f>
        <x:v>43.144349201065246</x:v>
      </x:c>
      <x:c r="J27" s="468" t="str">
        <x:v>Upper median of EV/Revenue and EV/EBITDA</x:v>
      </x:c>
      <x:c r="K27" s="468"/>
      <x:c r="L27" s="468"/>
      <x:c r="M27" s="468"/>
      <x:c r="N27" s="443"/>
    </x:row>
    <x:row r="28" ht="18" customHeight="1">
      <x:c r="A28" s="443" t="str">
        <x:v>Diluted EPS</x:v>
      </x:c>
      <x:c r="B28" s="450" t="n">
        <x:f>'CGNX Operating Model'!E40</x:f>
        <x:v>1.4957656056571431</x:v>
      </x:c>
      <x:c r="C28" s="443" t="str">
        <x:v>$ / share</x:v>
      </x:c>
      <x:c r="D28" s="468" t="str">
        <x:v>CGNX Operating Model FY2026E</x:v>
      </x:c>
      <x:c r="E28" s="53"/>
      <x:c r="F28" s="53"/>
      <x:c r="G28" s="53"/>
      <x:c r="H28" s="468" t="str">
        <x:v>Core midpoint premium vs. DCF</x:v>
      </x:c>
      <x:c r="I28" s="474" t="n">
        <x:f>AVERAGE(I26:I27)/I23-1</x:f>
        <x:v>0.6078963029452733</x:v>
      </x:c>
      <x:c r="J28" s="468" t="str">
        <x:v>Illustrates market-relative premium to conservative DCF</x:v>
      </x:c>
      <x:c r="K28" s="468"/>
      <x:c r="L28" s="468"/>
      <x:c r="M28" s="468"/>
      <x:c r="N28" s="443"/>
    </x:row>
    <x:row r="29" ht="18" customHeight="1">
      <x:c r="A29" s="443" t="str">
        <x:v>Cash and investments</x:v>
      </x:c>
      <x:c r="B29" s="449" t="n">
        <x:f>'DCF'!B19</x:f>
        <x:v>755.013</x:v>
      </x:c>
      <x:c r="C29" s="443" t="str">
        <x:v>$mm</x:v>
      </x:c>
      <x:c r="D29" s="468" t="str">
        <x:v>S-022 / DCF</x:v>
      </x:c>
      <x:c r="E29" s="53"/>
      <x:c r="F29" s="53"/>
      <x:c r="G29" s="53"/>
      <x:c r="H29" s="468" t="str">
        <x:v>Keyence EV/Revenue premium vs. peer median</x:v>
      </x:c>
      <x:c r="I29" s="474" t="n">
        <x:f>I7/I18-1</x:f>
        <x:v>1.7754318618042229</x:v>
      </x:c>
      <x:c r="J29" s="468" t="str">
        <x:v>Closest peer trades at a material premium; do not use blindly</x:v>
      </x:c>
      <x:c r="K29" s="468"/>
      <x:c r="L29" s="468"/>
      <x:c r="M29" s="468"/>
      <x:c r="N29" s="443"/>
    </x:row>
    <x:row r="30" ht="18" customHeight="1">
      <x:c r="A30" s="443" t="str">
        <x:v>Debt</x:v>
      </x:c>
      <x:c r="B30" s="449" t="n">
        <x:f>'DCF'!B20</x:f>
        <x:v>0</x:v>
      </x:c>
      <x:c r="C30" s="443" t="str">
        <x:v>$mm</x:v>
      </x:c>
      <x:c r="D30" s="468" t="str">
        <x:v>S-022 / DCF</x:v>
      </x:c>
      <x:c r="E30" s="53"/>
      <x:c r="F30" s="53"/>
      <x:c r="G30" s="53"/>
      <x:c r="H30" s="53"/>
      <x:c r="I30" s="53"/>
      <x:c r="J30" s="53"/>
      <x:c r="K30" s="53"/>
      <x:c r="L30" s="53"/>
      <x:c r="M30" s="53"/>
      <x:c r="N30" s="51"/>
    </x:row>
    <x:row r="31" ht="18" customHeight="1">
      <x:c r="A31" s="443" t="str">
        <x:v>Diluted shares</x:v>
      </x:c>
      <x:c r="B31" s="449" t="n">
        <x:f>'DCF'!B21</x:f>
        <x:v>168.224</x:v>
      </x:c>
      <x:c r="C31" s="443" t="str">
        <x:v>mm</x:v>
      </x:c>
      <x:c r="D31" s="468" t="str">
        <x:v>S-022 / DCF</x:v>
      </x:c>
      <x:c r="E31" s="53"/>
      <x:c r="F31" s="53"/>
      <x:c r="G31" s="53"/>
      <x:c r="H31" s="53"/>
      <x:c r="I31" s="53"/>
      <x:c r="J31" s="53"/>
      <x:c r="K31" s="53"/>
      <x:c r="L31" s="53"/>
      <x:c r="M31" s="53"/>
      <x:c r="N31" s="51"/>
    </x:row>
    <x:row r="32" ht="18" customHeight="1">
      <x:c r="A32" s="51"/>
      <x:c r="B32" s="51"/>
      <x:c r="C32" s="51"/>
      <x:c r="D32" s="53"/>
      <x:c r="E32" s="53"/>
      <x:c r="F32" s="53"/>
      <x:c r="G32" s="53"/>
      <x:c r="H32" s="53"/>
      <x:c r="I32" s="53"/>
      <x:c r="J32" s="53"/>
      <x:c r="K32" s="53"/>
      <x:c r="L32" s="53"/>
      <x:c r="M32" s="53"/>
      <x:c r="N32" s="51"/>
    </x:row>
    <x:row r="33" ht="18" customHeight="1">
      <x:c r="A33" s="434" t="str">
        <x:v>IMPLIED COGNEX EQUITY VALUE PER SHARE</x:v>
      </x:c>
      <x:c r="B33" s="434"/>
      <x:c r="C33" s="434"/>
      <x:c r="D33" s="466"/>
      <x:c r="E33" s="466"/>
      <x:c r="F33" s="466"/>
      <x:c r="G33" s="466"/>
      <x:c r="H33" s="466"/>
      <x:c r="I33" s="466"/>
      <x:c r="J33" s="53"/>
      <x:c r="K33" s="53"/>
      <x:c r="L33" s="53"/>
      <x:c r="M33" s="53"/>
      <x:c r="N33" s="51"/>
    </x:row>
    <x:row r="34" ht="18" customHeight="1">
      <x:c r="A34" s="435" t="str">
        <x:v>Method</x:v>
      </x:c>
      <x:c r="B34" s="435" t="str">
        <x:v>Target metric</x:v>
      </x:c>
      <x:c r="C34" s="435" t="str">
        <x:v>Metric value</x:v>
      </x:c>
      <x:c r="D34" s="460" t="str">
        <x:v>25th %ile</x:v>
      </x:c>
      <x:c r="E34" s="460" t="str">
        <x:v>Median</x:v>
      </x:c>
      <x:c r="F34" s="460" t="str">
        <x:v>75th %ile</x:v>
      </x:c>
      <x:c r="G34" s="460" t="str">
        <x:v>Low</x:v>
      </x:c>
      <x:c r="H34" s="460" t="str">
        <x:v>Median</x:v>
      </x:c>
      <x:c r="I34" s="460" t="str">
        <x:v>High</x:v>
      </x:c>
      <x:c r="J34" s="53"/>
      <x:c r="K34" s="53"/>
      <x:c r="L34" s="53"/>
      <x:c r="M34" s="53"/>
      <x:c r="N34" s="51"/>
    </x:row>
    <x:row r="35" ht="18" customHeight="1">
      <x:c r="A35" s="452" t="str">
        <x:v>EV / Revenue</x:v>
      </x:c>
      <x:c r="B35" s="452" t="str">
        <x:v>FY2026E revenue</x:v>
      </x:c>
      <x:c r="C35" s="453" t="n">
        <x:f>B24</x:f>
        <x:v>1140</x:v>
      </x:c>
      <x:c r="D35" s="475" t="n">
        <x:f>I17</x:f>
        <x:v>4.465</x:v>
      </x:c>
      <x:c r="E35" s="475" t="n">
        <x:f>I18</x:f>
        <x:v>5.21</x:v>
      </x:c>
      <x:c r="F35" s="475" t="n">
        <x:f>I19</x:f>
        <x:v>6.855</x:v>
      </x:c>
      <x:c r="G35" s="476" t="n">
        <x:f>(C35*D35+$B$29-$B$30)/$B$31</x:f>
        <x:v>34.7460112706867</x:v>
      </x:c>
      <x:c r="H35" s="477" t="n">
        <x:f>(C35*E35+$B$29-$B$30)/$B$31</x:f>
        <x:v>39.79463691268784</x:v>
      </x:c>
      <x:c r="I35" s="476" t="n">
        <x:f>(C35*F35+$B$29-$B$30)/$B$31</x:f>
        <x:v>50.94227339737494</x:v>
      </x:c>
      <x:c r="J35" s="53"/>
      <x:c r="K35" s="53"/>
      <x:c r="L35" s="53"/>
      <x:c r="M35" s="53"/>
      <x:c r="N35" s="51"/>
    </x:row>
    <x:row r="36" ht="18" customHeight="1">
      <x:c r="A36" s="452" t="str">
        <x:v>EV / EBITDA</x:v>
      </x:c>
      <x:c r="B36" s="452" t="str">
        <x:v>FY2026E EBITDA</x:v>
      </x:c>
      <x:c r="C36" s="453" t="n">
        <x:f>B25</x:f>
        <x:v>330.59999999999997</x:v>
      </x:c>
      <x:c r="D36" s="475" t="n">
        <x:f>J17</x:f>
        <x:v>17.6675</x:v>
      </x:c>
      <x:c r="E36" s="475" t="n">
        <x:f>J18</x:f>
        <x:v>19.67</x:v>
      </x:c>
      <x:c r="F36" s="475" t="n">
        <x:f>J19</x:f>
        <x:v>23.855</x:v>
      </x:c>
      <x:c r="G36" s="476" t="n">
        <x:f>(C36*D36+$B$29-$B$30)/$B$31</x:f>
        <x:v>39.20896245482214</x:v>
      </x:c>
      <x:c r="H36" s="477" t="n">
        <x:f>(C36*E36+$B$29-$B$30)/$B$31</x:f>
        <x:v>43.144349201065246</x:v>
      </x:c>
      <x:c r="I36" s="476" t="n">
        <x:f>(C36*F36+$B$29-$B$30)/$B$31</x:f>
        <x:v>51.36886532242725</x:v>
      </x:c>
      <x:c r="J36" s="53"/>
      <x:c r="K36" s="53"/>
      <x:c r="L36" s="53"/>
      <x:c r="M36" s="53"/>
      <x:c r="N36" s="51"/>
    </x:row>
    <x:row r="37" ht="18" customHeight="1">
      <x:c r="A37" s="452" t="str">
        <x:v>EV / EBIT</x:v>
      </x:c>
      <x:c r="B37" s="452" t="str">
        <x:v>FY2026E EBIT</x:v>
      </x:c>
      <x:c r="C37" s="453" t="n">
        <x:f>B26</x:f>
        <x:v>296.4</x:v>
      </x:c>
      <x:c r="D37" s="475" t="n">
        <x:f>K17</x:f>
        <x:v>24.1</x:v>
      </x:c>
      <x:c r="E37" s="475" t="n">
        <x:f>K18</x:f>
        <x:v>27.48</x:v>
      </x:c>
      <x:c r="F37" s="475" t="n">
        <x:f>K19</x:f>
        <x:v>28.855</x:v>
      </x:c>
      <x:c r="G37" s="476" t="n">
        <x:f>(C37*D37+$B$29-$B$30)/$B$31</x:f>
        <x:v>46.95080963477268</x:v>
      </x:c>
      <x:c r="H37" s="477" t="n">
        <x:f>(C37*E37+$B$29-$B$30)/$B$31</x:f>
        <x:v>52.9061548887198</x:v>
      </x:c>
      <x:c r="I37" s="476" t="n">
        <x:f>(C37*F37+$B$29-$B$30)/$B$31</x:f>
        <x:v>55.328817529008944</x:v>
      </x:c>
      <x:c r="J37" s="53"/>
      <x:c r="K37" s="53"/>
      <x:c r="L37" s="53"/>
      <x:c r="M37" s="53"/>
      <x:c r="N37" s="51"/>
    </x:row>
    <x:row r="38" ht="18" customHeight="1">
      <x:c r="A38" s="452" t="str">
        <x:v>P / E</x:v>
      </x:c>
      <x:c r="B38" s="452" t="str">
        <x:v>FY2026E diluted EPS</x:v>
      </x:c>
      <x:c r="C38" s="457" t="n">
        <x:f>B28</x:f>
        <x:v>1.4957656056571431</x:v>
      </x:c>
      <x:c r="D38" s="475" t="n">
        <x:f>L17</x:f>
        <x:v>33.35500000000001</x:v>
      </x:c>
      <x:c r="E38" s="475" t="n">
        <x:f>L18</x:f>
        <x:v>36.29</x:v>
      </x:c>
      <x:c r="F38" s="475" t="n">
        <x:f>L19</x:f>
        <x:v>39.27</x:v>
      </x:c>
      <x:c r="G38" s="476" t="n">
        <x:f>C38*D38</x:f>
        <x:v>49.89126177669402</x:v>
      </x:c>
      <x:c r="H38" s="477" t="n">
        <x:f>C38*E38</x:f>
        <x:v>54.28133382929772</x:v>
      </x:c>
      <x:c r="I38" s="476" t="n">
        <x:f>C38*F38</x:f>
        <x:v>58.73871533415601</x:v>
      </x:c>
      <x:c r="J38" s="53"/>
      <x:c r="K38" s="53"/>
      <x:c r="L38" s="53"/>
      <x:c r="M38" s="53"/>
      <x:c r="N38" s="51"/>
    </x:row>
    <x:row r="39" ht="18" customHeight="1">
      <x:c r="A39" s="51"/>
      <x:c r="B39" s="51"/>
      <x:c r="C39" s="51"/>
      <x:c r="D39" s="51"/>
      <x:c r="E39" s="51"/>
      <x:c r="F39" s="51"/>
      <x:c r="G39" s="51"/>
      <x:c r="H39" s="51"/>
      <x:c r="I39" s="51"/>
      <x:c r="J39" s="51"/>
      <x:c r="K39" s="51"/>
      <x:c r="L39" s="51"/>
      <x:c r="M39" s="51"/>
      <x:c r="N39" s="51"/>
    </x:row>
    <x:row r="40" ht="18" customHeight="1">
      <x:c r="A40" s="434" t="str">
        <x:v>ANALYST INTERPRETATION</x:v>
      </x:c>
      <x:c r="B40" s="434"/>
      <x:c r="C40" s="434"/>
      <x:c r="D40" s="434"/>
      <x:c r="E40" s="434"/>
      <x:c r="F40" s="434"/>
      <x:c r="G40" s="434"/>
      <x:c r="H40" s="434"/>
      <x:c r="I40" s="434"/>
      <x:c r="J40" s="434"/>
      <x:c r="K40" s="434"/>
      <x:c r="L40" s="434"/>
      <x:c r="M40" s="434"/>
      <x:c r="N40" s="434"/>
    </x:row>
    <x:row r="41" ht="30" customHeight="1">
      <x:c r="A41" s="458" t="str">
        <x:v>Cognex trades within a premium industrial-technology universe, but Keyence is a valuation outlier because its operating margin, growth, and direct machine-vision positioning are structurally stronger. The defensible core indication uses the median EV/Revenue and EV/EBITDA outputs; EV/EBIT and P/E remain corroborative.</x:v>
      </x:c>
      <x:c r="B41" s="458"/>
      <x:c r="C41" s="458"/>
      <x:c r="D41" s="458"/>
      <x:c r="E41" s="458"/>
      <x:c r="F41" s="458"/>
      <x:c r="G41" s="458"/>
      <x:c r="H41" s="458"/>
      <x:c r="I41" s="458"/>
      <x:c r="J41" s="458"/>
      <x:c r="K41" s="458"/>
      <x:c r="L41" s="458"/>
      <x:c r="M41" s="458"/>
      <x:c r="N41" s="458"/>
    </x:row>
    <x:row r="42" ht="30" customHeight="1">
      <x:c r="A42" s="458" t="str">
        <x:v>Trading comps reflect current market pricing, not intrinsic value. A high peer multiple can embed optimistic growth expectations, market sentiment, or superior quality; it should not be treated as automatic support for a higher acquisition price.</x:v>
      </x:c>
      <x:c r="B42" s="458"/>
      <x:c r="C42" s="458"/>
      <x:c r="D42" s="458"/>
      <x:c r="E42" s="458"/>
      <x:c r="F42" s="458"/>
      <x:c r="G42" s="458"/>
      <x:c r="H42" s="458"/>
      <x:c r="I42" s="458"/>
      <x:c r="J42" s="458"/>
      <x:c r="K42" s="458"/>
      <x:c r="L42" s="458"/>
      <x:c r="M42" s="458"/>
      <x:c r="N42" s="458"/>
    </x:row>
    <x:row r="43" ht="30" customHeight="1">
      <x:c r="A43" s="459" t="str">
        <x:v>Source note: Market data are from StockAnalysis pages using S&amp;P Global Market Intelligence. Values are rounded; local-currency equity and enterprise values are shown because valuation multiples are currency-neutral.</x:v>
      </x:c>
      <x:c r="B43" s="459"/>
      <x:c r="C43" s="459"/>
      <x:c r="D43" s="459"/>
      <x:c r="E43" s="459"/>
      <x:c r="F43" s="459"/>
      <x:c r="G43" s="459"/>
      <x:c r="H43" s="459"/>
      <x:c r="I43" s="459"/>
      <x:c r="J43" s="459"/>
      <x:c r="K43" s="459"/>
      <x:c r="L43" s="459"/>
      <x:c r="M43" s="459"/>
      <x:c r="N43" s="459"/>
    </x:row>
  </x:sheetData>
  <x:mergeCells>
    <x:mergeCell ref="A1:N1"/>
    <x:mergeCell ref="A2:N2"/>
    <x:mergeCell ref="B3:N3"/>
    <x:mergeCell ref="A5:N5"/>
    <x:mergeCell ref="A15:H15"/>
    <x:mergeCell ref="M16:N16"/>
    <x:mergeCell ref="M17:N17"/>
    <x:mergeCell ref="M18:N18"/>
    <x:mergeCell ref="M19:N19"/>
    <x:mergeCell ref="M20:N20"/>
    <x:mergeCell ref="A22:F22"/>
    <x:mergeCell ref="H22:N22"/>
    <x:mergeCell ref="J23:N23"/>
    <x:mergeCell ref="J24:N24"/>
    <x:mergeCell ref="J25:N25"/>
    <x:mergeCell ref="J26:N26"/>
    <x:mergeCell ref="J27:N27"/>
    <x:mergeCell ref="J28:N28"/>
    <x:mergeCell ref="J29:N29"/>
    <x:mergeCell ref="A33:I33"/>
    <x:mergeCell ref="A40:N40"/>
    <x:mergeCell ref="A41:N41"/>
    <x:mergeCell ref="A42:N42"/>
    <x:mergeCell ref="A43:N43"/>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22" hidden="0" customWidth="1"/>
    <x:col min="4" max="4" width="24" hidden="0" customWidth="1"/>
    <x:col min="5" max="5" width="11" hidden="0" customWidth="1"/>
    <x:col min="6" max="6" width="16" hidden="0" customWidth="1"/>
    <x:col min="7" max="7" width="13" hidden="0" customWidth="1"/>
    <x:col min="8" max="8" width="20" hidden="0" customWidth="1"/>
    <x:col min="9" max="9" width="12" hidden="0" customWidth="1"/>
    <x:col min="10" max="10" width="14" hidden="0" customWidth="1"/>
    <x:col min="11" max="11" width="15" hidden="0" customWidth="1"/>
    <x:col min="12" max="12" width="12" hidden="0" customWidth="1"/>
    <x:col min="13" max="13" width="11" hidden="0" customWidth="1"/>
    <x:col min="14" max="14" width="15" hidden="0" customWidth="1"/>
    <x:col min="15" max="15" width="44" hidden="0" customWidth="1"/>
  </x:cols>
  <x:sheetData>
    <x:row r="1" ht="28" customHeight="1">
      <x:c r="A1" s="535" t="str">
        <x:v>Precedent Transactions</x:v>
      </x:c>
      <x:c r="B1" s="535"/>
      <x:c r="C1" s="535"/>
      <x:c r="D1" s="535"/>
      <x:c r="E1" s="535"/>
      <x:c r="F1" s="535"/>
      <x:c r="G1" s="535"/>
      <x:c r="H1" s="535"/>
      <x:c r="I1" s="535"/>
      <x:c r="J1" s="535"/>
      <x:c r="K1" s="535"/>
      <x:c r="L1" s="535"/>
      <x:c r="M1" s="535"/>
      <x:c r="N1" s="535"/>
      <x:c r="O1" s="535"/>
    </x:row>
    <x:row r="2" ht="18" customHeight="1">
      <x:c r="A2" s="536" t="str">
        <x:v>Comparable strategic acquisitions in machine vision, imaging, automation, and industrial software | USD millions unless noted</x:v>
      </x:c>
      <x:c r="B2" s="536"/>
      <x:c r="C2" s="536"/>
      <x:c r="D2" s="536"/>
      <x:c r="E2" s="536"/>
      <x:c r="F2" s="536"/>
      <x:c r="G2" s="536"/>
      <x:c r="H2" s="536"/>
      <x:c r="I2" s="536"/>
      <x:c r="J2" s="536"/>
      <x:c r="K2" s="536"/>
      <x:c r="L2" s="536"/>
      <x:c r="M2" s="536"/>
      <x:c r="N2" s="536"/>
      <x:c r="O2" s="536"/>
    </x:row>
    <x:row r="3" ht="18" customHeight="1">
      <x:c r="A3" s="432" t="str">
        <x:v>Status</x:v>
      </x:c>
      <x:c r="B3" s="537" t="str">
        <x:v>Complete — seven transactions screened; six included in the core valuation set</x:v>
      </x:c>
      <x:c r="C3" s="537"/>
      <x:c r="D3" s="537"/>
      <x:c r="E3" s="537"/>
      <x:c r="F3" s="537"/>
      <x:c r="G3" s="537"/>
      <x:c r="H3" s="537"/>
      <x:c r="I3" s="537"/>
      <x:c r="J3" s="537"/>
      <x:c r="K3" s="537"/>
      <x:c r="L3" s="537"/>
      <x:c r="M3" s="537"/>
      <x:c r="N3" s="537"/>
      <x:c r="O3" s="537"/>
    </x:row>
    <x:row r="4" ht="18" customHeight="1">
      <x:c r="A4" s="538"/>
      <x:c r="B4" s="538"/>
      <x:c r="C4" s="538"/>
      <x:c r="D4" s="538"/>
      <x:c r="E4" s="538"/>
      <x:c r="F4" s="538"/>
      <x:c r="G4" s="538"/>
      <x:c r="H4" s="538"/>
      <x:c r="I4" s="538"/>
      <x:c r="J4" s="538"/>
      <x:c r="K4" s="538"/>
      <x:c r="L4" s="538"/>
      <x:c r="M4" s="538"/>
      <x:c r="N4" s="538"/>
      <x:c r="O4" s="538"/>
    </x:row>
    <x:row r="5" ht="18" customHeight="1">
      <x:c r="A5" s="539" t="str">
        <x:v>SELECTED PRECEDENT TRANSACTIONS</x:v>
      </x:c>
      <x:c r="B5" s="539"/>
      <x:c r="C5" s="539"/>
      <x:c r="D5" s="539"/>
      <x:c r="E5" s="539"/>
      <x:c r="F5" s="539"/>
      <x:c r="G5" s="539"/>
      <x:c r="H5" s="539"/>
      <x:c r="I5" s="539"/>
      <x:c r="J5" s="539"/>
      <x:c r="K5" s="539"/>
      <x:c r="L5" s="539"/>
      <x:c r="M5" s="539"/>
      <x:c r="N5" s="539"/>
      <x:c r="O5" s="539"/>
    </x:row>
    <x:row r="6" ht="34" customHeight="1">
      <x:c r="A6" s="540" t="str">
        <x:v>Announced</x:v>
      </x:c>
      <x:c r="B6" s="540" t="str">
        <x:v>Acquirer</x:v>
      </x:c>
      <x:c r="C6" s="540" t="str">
        <x:v>Target</x:v>
      </x:c>
      <x:c r="D6" s="540" t="str">
        <x:v>Strategic relevance</x:v>
      </x:c>
      <x:c r="E6" s="571" t="str">
        <x:v>Core set?</x:v>
      </x:c>
      <x:c r="F6" s="571" t="str">
        <x:v>Transaction EV</x:v>
      </x:c>
      <x:c r="G6" s="571" t="str">
        <x:v>Revenue</x:v>
      </x:c>
      <x:c r="H6" s="571" t="str">
        <x:v>EBITDA</x:v>
      </x:c>
      <x:c r="I6" s="571" t="str">
        <x:v>EBIT</x:v>
      </x:c>
      <x:c r="J6" s="571" t="str">
        <x:v>EV / Revenue</x:v>
      </x:c>
      <x:c r="K6" s="571" t="str">
        <x:v>EV / EBITDA</x:v>
      </x:c>
      <x:c r="L6" s="571" t="str">
        <x:v>EV / EBIT</x:v>
      </x:c>
      <x:c r="M6" s="571" t="str">
        <x:v>Premium</x:v>
      </x:c>
      <x:c r="N6" s="540" t="str">
        <x:v>Sources</x:v>
      </x:c>
      <x:c r="O6" s="540" t="str">
        <x:v>Key qualification</x:v>
      </x:c>
    </x:row>
    <x:row r="7" ht="30" customHeight="1">
      <x:c r="A7" s="541" t="n">
        <x:v>43871</x:v>
      </x:c>
      <x:c r="B7" s="437" t="str">
        <x:v>Atlas Copco</x:v>
      </x:c>
      <x:c r="C7" s="437" t="str">
        <x:v>ISRA VISION</x:v>
      </x:c>
      <x:c r="D7" s="437" t="str">
        <x:v>Direct machine vision</x:v>
      </x:c>
      <x:c r="E7" s="461" t="str">
        <x:v>Yes</x:v>
      </x:c>
      <x:c r="F7" s="572" t="n">
        <x:v>1094</x:v>
      </x:c>
      <x:c r="G7" s="572" t="n">
        <x:v>154</x:v>
      </x:c>
      <x:c r="H7" s="572"/>
      <x:c r="I7" s="572" t="n">
        <x:v>34</x:v>
      </x:c>
      <x:c r="J7" s="573" t="n">
        <x:f>IFERROR(F7/G7,"")</x:f>
        <x:v>7.103896103896104</x:v>
      </x:c>
      <x:c r="K7" s="573" t="str">
        <x:f>IFERROR(F7/H7,"")</x:f>
      </x:c>
      <x:c r="L7" s="573" t="n">
        <x:f>IFERROR(F7/I7,"")</x:f>
        <x:v>32.1764705882353</x:v>
      </x:c>
      <x:c r="M7" s="574" t="n">
        <x:v>0.43</x:v>
      </x:c>
      <x:c r="N7" s="437" t="str">
        <x:v>S-040</x:v>
      </x:c>
      <x:c r="O7" s="437" t="str">
        <x:v>Public target; premium is versus prior closing price</x:v>
      </x:c>
    </x:row>
    <x:row r="8" ht="30" customHeight="1">
      <x:c r="A8" s="541" t="n">
        <x:v>44200</x:v>
      </x:c>
      <x:c r="B8" s="437" t="str">
        <x:v>Teledyne Technologies</x:v>
      </x:c>
      <x:c r="C8" s="437" t="str">
        <x:v>FLIR Systems</x:v>
      </x:c>
      <x:c r="D8" s="437" t="str">
        <x:v>Thermal imaging / sensing</x:v>
      </x:c>
      <x:c r="E8" s="461" t="str">
        <x:v>Yes</x:v>
      </x:c>
      <x:c r="F8" s="572" t="n">
        <x:v>8000</x:v>
      </x:c>
      <x:c r="G8" s="572" t="n">
        <x:v>1923.689</x:v>
      </x:c>
      <x:c r="H8" s="572" t="n">
        <x:v>411.982</x:v>
      </x:c>
      <x:c r="I8" s="572" t="n">
        <x:v>317.242</x:v>
      </x:c>
      <x:c r="J8" s="573" t="n">
        <x:f>IFERROR(F8/G8,"")</x:f>
        <x:v>4.158676376482893</x:v>
      </x:c>
      <x:c r="K8" s="573" t="n">
        <x:f>IFERROR(F8/H8,"")</x:f>
        <x:v>19.418324101538417</x:v>
      </x:c>
      <x:c r="L8" s="573" t="n">
        <x:f>IFERROR(F8/I8,"")</x:f>
        <x:v>25.217341966070066</x:v>
      </x:c>
      <x:c r="M8" s="574" t="n">
        <x:v>0.4</x:v>
      </x:c>
      <x:c r="N8" s="437" t="str">
        <x:v>S-041 / S-042</x:v>
      </x:c>
      <x:c r="O8" s="437" t="str">
        <x:v>Public target; EBITDA equals EBIT plus reported D&amp;A</x:v>
      </x:c>
    </x:row>
    <x:row r="9" ht="30" customHeight="1">
      <x:c r="A9" s="541" t="n">
        <x:v>44635</x:v>
      </x:c>
      <x:c r="B9" s="437" t="str">
        <x:v>Zebra Technologies</x:v>
      </x:c>
      <x:c r="C9" s="437" t="str">
        <x:v>Matrox Imaging</x:v>
      </x:c>
      <x:c r="D9" s="437" t="str">
        <x:v>Direct machine vision</x:v>
      </x:c>
      <x:c r="E9" s="461" t="str">
        <x:v>Yes</x:v>
      </x:c>
      <x:c r="F9" s="572" t="n">
        <x:v>875</x:v>
      </x:c>
      <x:c r="G9" s="572" t="n">
        <x:v>100</x:v>
      </x:c>
      <x:c r="H9" s="572"/>
      <x:c r="I9" s="572"/>
      <x:c r="J9" s="573" t="n">
        <x:f>IFERROR(F9/G9,"")</x:f>
        <x:v>8.75</x:v>
      </x:c>
      <x:c r="K9" s="573" t="str">
        <x:f>IFERROR(F9/H9,"")</x:f>
      </x:c>
      <x:c r="L9" s="573" t="str">
        <x:f>IFERROR(F9/I9,"")</x:f>
      </x:c>
      <x:c r="M9" s="574"/>
      <x:c r="N9" s="437" t="str">
        <x:v>S-043</x:v>
      </x:c>
      <x:c r="O9" s="437" t="str">
        <x:v>Private target; revenue is management estimate</x:v>
      </x:c>
    </x:row>
    <x:row r="10" ht="30" customHeight="1">
      <x:c r="A10" s="541" t="n">
        <x:v>45028</x:v>
      </x:c>
      <x:c r="B10" s="437" t="str">
        <x:v>Emerson</x:v>
      </x:c>
      <x:c r="C10" s="437" t="str">
        <x:v>National Instruments</x:v>
      </x:c>
      <x:c r="D10" s="437" t="str">
        <x:v>Test and measurement automation</x:v>
      </x:c>
      <x:c r="E10" s="461" t="str">
        <x:v>Yes</x:v>
      </x:c>
      <x:c r="F10" s="572" t="n">
        <x:v>8467</x:v>
      </x:c>
      <x:c r="G10" s="572" t="n">
        <x:v>1700</x:v>
      </x:c>
      <x:c r="H10" s="572"/>
      <x:c r="I10" s="572"/>
      <x:c r="J10" s="573" t="n">
        <x:f>IFERROR(F10/G10,"")</x:f>
        <x:v>4.9805882352941175</x:v>
      </x:c>
      <x:c r="K10" s="573" t="str">
        <x:f>IFERROR(F10/H10,"")</x:f>
      </x:c>
      <x:c r="L10" s="573" t="str">
        <x:f>IFERROR(F10/I10,"")</x:f>
      </x:c>
      <x:c r="M10" s="574" t="n">
        <x:v>0.49</x:v>
      </x:c>
      <x:c r="N10" s="437" t="str">
        <x:v>S-044 / S-045</x:v>
      </x:c>
      <x:c r="O10" s="437" t="str">
        <x:v>EV uses cash consideration including debt payoff</x:v>
      </x:c>
    </x:row>
    <x:row r="11" ht="30" customHeight="1">
      <x:c r="A11" s="541" t="n">
        <x:v>45167</x:v>
      </x:c>
      <x:c r="B11" s="437" t="str">
        <x:v>Cognex</x:v>
      </x:c>
      <x:c r="C11" s="437" t="str">
        <x:v>Moritex</x:v>
      </x:c>
      <x:c r="D11" s="437" t="str">
        <x:v>Direct machine-vision optics</x:v>
      </x:c>
      <x:c r="E11" s="461" t="str">
        <x:v>Yes</x:v>
      </x:c>
      <x:c r="F11" s="572" t="n">
        <x:v>275</x:v>
      </x:c>
      <x:c r="G11" s="572" t="n">
        <x:v>70.4</x:v>
      </x:c>
      <x:c r="H11" s="572"/>
      <x:c r="I11" s="572"/>
      <x:c r="J11" s="573" t="n">
        <x:f>IFERROR(F11/G11,"")</x:f>
        <x:v>3.9062499999999996</x:v>
      </x:c>
      <x:c r="K11" s="573" t="str">
        <x:f>IFERROR(F11/H11,"")</x:f>
      </x:c>
      <x:c r="L11" s="573" t="str">
        <x:f>IFERROR(F11/I11,"")</x:f>
      </x:c>
      <x:c r="M11" s="574"/>
      <x:c r="N11" s="437" t="str">
        <x:v>S-046</x:v>
      </x:c>
      <x:c r="O11" s="437" t="str">
        <x:v>Revenue estimated at midpoint of 6%–8% contribution guidance</x:v>
      </x:c>
    </x:row>
    <x:row r="12" ht="30" customHeight="1">
      <x:c r="A12" s="541" t="n">
        <x:v>45268</x:v>
      </x:c>
      <x:c r="B12" s="437" t="str">
        <x:v>Honeywell</x:v>
      </x:c>
      <x:c r="C12" s="437" t="str">
        <x:v>Carrier Global Access Solutions</x:v>
      </x:c>
      <x:c r="D12" s="437" t="str">
        <x:v>Building automation / access</x:v>
      </x:c>
      <x:c r="E12" s="461" t="str">
        <x:v>Yes</x:v>
      </x:c>
      <x:c r="F12" s="572" t="n">
        <x:v>4950</x:v>
      </x:c>
      <x:c r="G12" s="572" t="n">
        <x:v>700</x:v>
      </x:c>
      <x:c r="H12" s="572" t="n">
        <x:v>291.1764706</x:v>
      </x:c>
      <x:c r="I12" s="572"/>
      <x:c r="J12" s="573" t="n">
        <x:f>IFERROR(F12/G12,"")</x:f>
        <x:v>7.071428571428571</x:v>
      </x:c>
      <x:c r="K12" s="573" t="n">
        <x:f>IFERROR(F12/H12,"")</x:f>
        <x:v>16.99999999931313</x:v>
      </x:c>
      <x:c r="L12" s="573" t="str">
        <x:f>IFERROR(F12/I12,"")</x:f>
      </x:c>
      <x:c r="M12" s="574"/>
      <x:c r="N12" s="437" t="str">
        <x:v>S-047</x:v>
      </x:c>
      <x:c r="O12" s="437" t="str">
        <x:v>Standalone 17.0x EBITDA; buyer cited 13.0x including synergies/tax benefits</x:v>
      </x:c>
    </x:row>
    <x:row r="13" ht="30" customHeight="1">
      <x:c r="A13" s="545" t="n">
        <x:v>45595</x:v>
      </x:c>
      <x:c r="B13" s="546" t="str">
        <x:v>Siemens</x:v>
      </x:c>
      <x:c r="C13" s="546" t="str">
        <x:v>Altair Engineering</x:v>
      </x:c>
      <x:c r="D13" s="546" t="str">
        <x:v>Industrial software / simulation</x:v>
      </x:c>
      <x:c r="E13" s="575" t="str">
        <x:v>No</x:v>
      </x:c>
      <x:c r="F13" s="576" t="n">
        <x:v>10000</x:v>
      </x:c>
      <x:c r="G13" s="576" t="n">
        <x:v>668</x:v>
      </x:c>
      <x:c r="H13" s="576" t="n">
        <x:v>147</x:v>
      </x:c>
      <x:c r="I13" s="576"/>
      <x:c r="J13" s="577" t="n">
        <x:f>IFERROR(F13/G13,"")</x:f>
        <x:v>14.970059880239521</x:v>
      </x:c>
      <x:c r="K13" s="577" t="n">
        <x:f>IFERROR(F13/H13,"")</x:f>
        <x:v>68.02721088435374</x:v>
      </x:c>
      <x:c r="L13" s="577" t="str">
        <x:f>IFERROR(F13/I13,"")</x:f>
      </x:c>
      <x:c r="M13" s="578" t="n">
        <x:v>0.19</x:v>
      </x:c>
      <x:c r="N13" s="546" t="str">
        <x:v>S-048 / S-049</x:v>
      </x:c>
      <x:c r="O13" s="546" t="str">
        <x:v>Excluded from core set as high-growth software valuation outlier</x:v>
      </x:c>
    </x:row>
    <x:row r="14" ht="18" customHeight="1">
      <x:c r="A14" s="538"/>
      <x:c r="B14" s="538"/>
      <x:c r="C14" s="538"/>
      <x:c r="D14" s="538"/>
      <x:c r="E14" s="579"/>
      <x:c r="F14" s="579"/>
      <x:c r="G14" s="579"/>
      <x:c r="H14" s="579"/>
      <x:c r="I14" s="579"/>
      <x:c r="J14" s="580"/>
      <x:c r="K14" s="580"/>
      <x:c r="L14" s="580"/>
      <x:c r="M14" s="581"/>
      <x:c r="N14" s="538"/>
      <x:c r="O14" s="538"/>
    </x:row>
    <x:row r="15" ht="18" customHeight="1">
      <x:c r="A15" s="539" t="str">
        <x:v>SELECTED TRANSACTION STATISTICS</x:v>
      </x:c>
      <x:c r="B15" s="539"/>
      <x:c r="C15" s="539"/>
      <x:c r="D15" s="539"/>
      <x:c r="E15" s="582"/>
      <x:c r="F15" s="582"/>
      <x:c r="G15" s="582"/>
      <x:c r="H15" s="582"/>
      <x:c r="I15" s="582"/>
      <x:c r="J15" s="583" t="str">
        <x:v>EV / Revenue</x:v>
      </x:c>
      <x:c r="K15" s="583" t="str">
        <x:v>EV / EBITDA</x:v>
      </x:c>
      <x:c r="L15" s="583" t="str">
        <x:v>EV / EBIT</x:v>
      </x:c>
      <x:c r="M15" s="584" t="str">
        <x:v>Premium</x:v>
      </x:c>
      <x:c r="N15" s="538"/>
      <x:c r="O15" s="538"/>
    </x:row>
    <x:row r="16" ht="18" customHeight="1">
      <x:c r="A16" s="436" t="str">
        <x:v>Minimum</x:v>
      </x:c>
      <x:c r="B16" s="436"/>
      <x:c r="C16" s="436"/>
      <x:c r="D16" s="436"/>
      <x:c r="E16" s="585"/>
      <x:c r="F16" s="585"/>
      <x:c r="G16" s="585"/>
      <x:c r="H16" s="585"/>
      <x:c r="I16" s="585"/>
      <x:c r="J16" s="573" t="n">
        <x:f>MIN(J$7:J$12)</x:f>
        <x:v>3.9062499999999996</x:v>
      </x:c>
      <x:c r="K16" s="573" t="n">
        <x:f>MIN(K$7:K$12)</x:f>
        <x:v>16.99999999931313</x:v>
      </x:c>
      <x:c r="L16" s="573" t="n">
        <x:f>MIN(L$7:L$12)</x:f>
        <x:v>25.217341966070066</x:v>
      </x:c>
      <x:c r="M16" s="574" t="n">
        <x:f>MIN(M$7:M$13)</x:f>
        <x:v>0.19</x:v>
      </x:c>
      <x:c r="N16" s="554" t="str">
        <x:v>Core multiples exclude Altair; premium statistics include public targets with disclosed unaffected-price premiums.</x:v>
      </x:c>
      <x:c r="O16" s="554"/>
    </x:row>
    <x:row r="17" ht="18" customHeight="1">
      <x:c r="A17" s="436" t="str">
        <x:v>25th percentile</x:v>
      </x:c>
      <x:c r="B17" s="436"/>
      <x:c r="C17" s="436"/>
      <x:c r="D17" s="436"/>
      <x:c r="E17" s="585"/>
      <x:c r="F17" s="585"/>
      <x:c r="G17" s="585"/>
      <x:c r="H17" s="585"/>
      <x:c r="I17" s="585"/>
      <x:c r="J17" s="573" t="n">
        <x:f>PERCENTILE.INC(J$7:J$12,25%)</x:f>
        <x:v>4.3641543411857</x:v>
      </x:c>
      <x:c r="K17" s="573" t="n">
        <x:f>PERCENTILE.INC(K$7:K$12,25%)</x:f>
        <x:v>17.60458102486945</x:v>
      </x:c>
      <x:c r="L17" s="573" t="n">
        <x:f>PERCENTILE.INC(L$7:L$12,25%)</x:f>
        <x:v>26.95712412161137</x:v>
      </x:c>
      <x:c r="M17" s="574" t="n">
        <x:f>PERCENTILE.INC(M$7:M$13,25%)</x:f>
        <x:v>0.3475</x:v>
      </x:c>
      <x:c r="N17" s="554"/>
      <x:c r="O17" s="554"/>
    </x:row>
    <x:row r="18" ht="18" customHeight="1">
      <x:c r="A18" s="555" t="str">
        <x:v>Median</x:v>
      </x:c>
      <x:c r="B18" s="555"/>
      <x:c r="C18" s="555"/>
      <x:c r="D18" s="555"/>
      <x:c r="E18" s="586"/>
      <x:c r="F18" s="586"/>
      <x:c r="G18" s="586"/>
      <x:c r="H18" s="586"/>
      <x:c r="I18" s="586"/>
      <x:c r="J18" s="587" t="n">
        <x:f>MEDIAN(J$7:J$12)</x:f>
        <x:v>6.026008403361344</x:v>
      </x:c>
      <x:c r="K18" s="587" t="n">
        <x:f>MEDIAN(K$7:K$12)</x:f>
        <x:v>18.209162050425775</x:v>
      </x:c>
      <x:c r="L18" s="587" t="n">
        <x:f>MEDIAN(L$7:L$12)</x:f>
        <x:v>28.69690627715268</x:v>
      </x:c>
      <x:c r="M18" s="588" t="n">
        <x:f>MEDIAN(M$7:M$13)</x:f>
        <x:v>0.41500000000000004</x:v>
      </x:c>
      <x:c r="N18" s="554"/>
      <x:c r="O18" s="554"/>
    </x:row>
    <x:row r="19" ht="18" customHeight="1">
      <x:c r="A19" s="436" t="str">
        <x:v>75th percentile</x:v>
      </x:c>
      <x:c r="B19" s="436"/>
      <x:c r="C19" s="436"/>
      <x:c r="D19" s="436"/>
      <x:c r="E19" s="585"/>
      <x:c r="F19" s="585"/>
      <x:c r="G19" s="585"/>
      <x:c r="H19" s="585"/>
      <x:c r="I19" s="585"/>
      <x:c r="J19" s="573" t="n">
        <x:f>PERCENTILE.INC(J$7:J$12,75%)</x:f>
        <x:v>7.09577922077922</x:v>
      </x:c>
      <x:c r="K19" s="573" t="n">
        <x:f>PERCENTILE.INC(K$7:K$12,75%)</x:f>
        <x:v>18.8137430759821</x:v>
      </x:c>
      <x:c r="L19" s="573" t="n">
        <x:f>PERCENTILE.INC(L$7:L$12,75%)</x:f>
        <x:v>30.43668843269399</x:v>
      </x:c>
      <x:c r="M19" s="574" t="n">
        <x:f>PERCENTILE.INC(M$7:M$13,75%)</x:f>
        <x:v>0.445</x:v>
      </x:c>
      <x:c r="N19" s="554"/>
      <x:c r="O19" s="554"/>
    </x:row>
    <x:row r="20" ht="18" customHeight="1">
      <x:c r="A20" s="436" t="str">
        <x:v>Maximum</x:v>
      </x:c>
      <x:c r="B20" s="436"/>
      <x:c r="C20" s="436"/>
      <x:c r="D20" s="436"/>
      <x:c r="E20" s="585"/>
      <x:c r="F20" s="585"/>
      <x:c r="G20" s="585"/>
      <x:c r="H20" s="585"/>
      <x:c r="I20" s="585"/>
      <x:c r="J20" s="573" t="n">
        <x:f>MAX(J$7:J$12)</x:f>
        <x:v>8.75</x:v>
      </x:c>
      <x:c r="K20" s="573" t="n">
        <x:f>MAX(K$7:K$12)</x:f>
        <x:v>19.418324101538417</x:v>
      </x:c>
      <x:c r="L20" s="573" t="n">
        <x:f>MAX(L$7:L$12)</x:f>
        <x:v>32.1764705882353</x:v>
      </x:c>
      <x:c r="M20" s="574" t="n">
        <x:f>MAX(M$7:M$13)</x:f>
        <x:v>0.49</x:v>
      </x:c>
      <x:c r="N20" s="554"/>
      <x:c r="O20" s="554"/>
    </x:row>
    <x:row r="21" ht="18" customHeight="1">
      <x:c r="A21" s="538"/>
      <x:c r="B21" s="538"/>
      <x:c r="C21" s="538"/>
      <x:c r="D21" s="538"/>
      <x:c r="E21" s="579"/>
      <x:c r="F21" s="579"/>
      <x:c r="G21" s="579"/>
      <x:c r="H21" s="579"/>
      <x:c r="I21" s="579"/>
      <x:c r="J21" s="579"/>
      <x:c r="K21" s="579"/>
      <x:c r="L21" s="579"/>
      <x:c r="M21" s="579"/>
      <x:c r="N21" s="538"/>
      <x:c r="O21" s="538"/>
    </x:row>
    <x:row r="22" ht="18" customHeight="1">
      <x:c r="A22" s="539" t="str">
        <x:v>COGNEX VALUATION INPUTS</x:v>
      </x:c>
      <x:c r="B22" s="539"/>
      <x:c r="C22" s="539"/>
      <x:c r="D22" s="539"/>
      <x:c r="E22" s="582"/>
      <x:c r="F22" s="582"/>
      <x:c r="G22" s="579"/>
      <x:c r="H22" s="582" t="str">
        <x:v>KEY OUTPUTS</x:v>
      </x:c>
      <x:c r="I22" s="582"/>
      <x:c r="J22" s="582"/>
      <x:c r="K22" s="582"/>
      <x:c r="L22" s="582"/>
      <x:c r="M22" s="582"/>
      <x:c r="N22" s="539"/>
      <x:c r="O22" s="539"/>
    </x:row>
    <x:row r="23" ht="18" customHeight="1">
      <x:c r="A23" s="558" t="str">
        <x:v>Metric</x:v>
      </x:c>
      <x:c r="B23" s="558" t="str">
        <x:v>Value</x:v>
      </x:c>
      <x:c r="C23" s="558" t="str">
        <x:v>Units</x:v>
      </x:c>
      <x:c r="D23" s="558" t="str">
        <x:v>Source / methodology</x:v>
      </x:c>
      <x:c r="E23" s="579"/>
      <x:c r="F23" s="579"/>
      <x:c r="G23" s="579"/>
      <x:c r="H23" s="585" t="str">
        <x:v>DCF implied value / share</x:v>
      </x:c>
      <x:c r="I23" s="589" t="n">
        <x:f>'DCF'!H8</x:f>
        <x:v>25.791148957127746</x:v>
      </x:c>
      <x:c r="J23" s="585" t="str">
        <x:v>Standalone intrinsic-value reference</x:v>
      </x:c>
      <x:c r="K23" s="585"/>
      <x:c r="L23" s="585"/>
      <x:c r="M23" s="585"/>
      <x:c r="N23" s="436"/>
      <x:c r="O23" s="436"/>
    </x:row>
    <x:row r="24" ht="18" customHeight="1">
      <x:c r="A24" s="436" t="str">
        <x:v>FY2026E revenue</x:v>
      </x:c>
      <x:c r="B24" s="560" t="n">
        <x:f>'CGNX Operating Model'!E20</x:f>
        <x:v>1140</x:v>
      </x:c>
      <x:c r="C24" s="436" t="str">
        <x:v>$mm</x:v>
      </x:c>
      <x:c r="D24" s="436" t="str">
        <x:v>CGNX Operating Model</x:v>
      </x:c>
      <x:c r="E24" s="579"/>
      <x:c r="F24" s="579"/>
      <x:c r="G24" s="579"/>
      <x:c r="H24" s="585" t="str">
        <x:v>Trading comps core low</x:v>
      </x:c>
      <x:c r="I24" s="589" t="n">
        <x:f>'Trading Comps'!I26</x:f>
        <x:v>39.79463691268784</x:v>
      </x:c>
      <x:c r="J24" s="585" t="str">
        <x:v>Lower median public-company indication</x:v>
      </x:c>
      <x:c r="K24" s="585"/>
      <x:c r="L24" s="585"/>
      <x:c r="M24" s="585"/>
      <x:c r="N24" s="436"/>
      <x:c r="O24" s="436"/>
    </x:row>
    <x:row r="25" ht="18" customHeight="1">
      <x:c r="A25" s="436" t="str">
        <x:v>FY2026E EBITDA</x:v>
      </x:c>
      <x:c r="B25" s="560" t="n">
        <x:f>'CGNX Operating Model'!E32</x:f>
        <x:v>330.59999999999997</x:v>
      </x:c>
      <x:c r="C25" s="436" t="str">
        <x:v>$mm</x:v>
      </x:c>
      <x:c r="D25" s="436" t="str">
        <x:v>CGNX Operating Model</x:v>
      </x:c>
      <x:c r="E25" s="579"/>
      <x:c r="F25" s="579"/>
      <x:c r="G25" s="579"/>
      <x:c r="H25" s="585" t="str">
        <x:v>Trading comps core high</x:v>
      </x:c>
      <x:c r="I25" s="589" t="n">
        <x:f>'Trading Comps'!I27</x:f>
        <x:v>43.144349201065246</x:v>
      </x:c>
      <x:c r="J25" s="585" t="str">
        <x:v>Upper median public-company indication</x:v>
      </x:c>
      <x:c r="K25" s="585"/>
      <x:c r="L25" s="585"/>
      <x:c r="M25" s="585"/>
      <x:c r="N25" s="436"/>
      <x:c r="O25" s="436"/>
    </x:row>
    <x:row r="26" ht="18" customHeight="1">
      <x:c r="A26" s="436" t="str">
        <x:v>FY2026E EBIT</x:v>
      </x:c>
      <x:c r="B26" s="560" t="n">
        <x:f>'CGNX Operating Model'!E29</x:f>
        <x:v>296.4</x:v>
      </x:c>
      <x:c r="C26" s="436" t="str">
        <x:v>$mm</x:v>
      </x:c>
      <x:c r="D26" s="436" t="str">
        <x:v>CGNX Operating Model</x:v>
      </x:c>
      <x:c r="E26" s="579"/>
      <x:c r="F26" s="579"/>
      <x:c r="G26" s="579"/>
      <x:c r="H26" s="585" t="str">
        <x:v>Precedent core median low</x:v>
      </x:c>
      <x:c r="I26" s="589" t="n">
        <x:f>MIN(H35:H36)</x:f>
        <x:v>40.27345666415471</x:v>
      </x:c>
      <x:c r="J26" s="585" t="str">
        <x:v>Lower median of precedent EV/Revenue and EV/EBITDA</x:v>
      </x:c>
      <x:c r="K26" s="585"/>
      <x:c r="L26" s="585"/>
      <x:c r="M26" s="585"/>
      <x:c r="N26" s="436"/>
      <x:c r="O26" s="436"/>
    </x:row>
    <x:row r="27" ht="18" customHeight="1">
      <x:c r="A27" s="436" t="str">
        <x:v>Cash and investments</x:v>
      </x:c>
      <x:c r="B27" s="560" t="n">
        <x:f>'DCF'!B19</x:f>
        <x:v>755.013</x:v>
      </x:c>
      <x:c r="C27" s="436" t="str">
        <x:v>$mm</x:v>
      </x:c>
      <x:c r="D27" s="436" t="str">
        <x:v>S-022 / DCF</x:v>
      </x:c>
      <x:c r="E27" s="579"/>
      <x:c r="F27" s="579"/>
      <x:c r="G27" s="579"/>
      <x:c r="H27" s="585" t="str">
        <x:v>Precedent core median high</x:v>
      </x:c>
      <x:c r="I27" s="589" t="n">
        <x:f>MAX(H35:H36)</x:f>
        <x:v>45.32446369026972</x:v>
      </x:c>
      <x:c r="J27" s="585" t="str">
        <x:v>Upper median of precedent EV/Revenue and EV/EBITDA</x:v>
      </x:c>
      <x:c r="K27" s="585"/>
      <x:c r="L27" s="585"/>
      <x:c r="M27" s="585"/>
      <x:c r="N27" s="436"/>
      <x:c r="O27" s="436"/>
    </x:row>
    <x:row r="28" ht="18" customHeight="1">
      <x:c r="A28" s="436" t="str">
        <x:v>Debt</x:v>
      </x:c>
      <x:c r="B28" s="560" t="n">
        <x:f>'DCF'!B20</x:f>
        <x:v>0</x:v>
      </x:c>
      <x:c r="C28" s="436" t="str">
        <x:v>$mm</x:v>
      </x:c>
      <x:c r="D28" s="436" t="str">
        <x:v>S-022 / DCF</x:v>
      </x:c>
      <x:c r="E28" s="579"/>
      <x:c r="F28" s="579"/>
      <x:c r="G28" s="579"/>
      <x:c r="H28" s="585" t="str">
        <x:v>Median premium indication</x:v>
      </x:c>
      <x:c r="I28" s="589" t="n">
        <x:f>H38</x:f>
        <x:v>84.51795</x:v>
      </x:c>
      <x:c r="J28" s="585" t="str">
        <x:v>Current price plus median disclosed control premium</x:v>
      </x:c>
      <x:c r="K28" s="585"/>
      <x:c r="L28" s="585"/>
      <x:c r="M28" s="585"/>
      <x:c r="N28" s="436"/>
      <x:c r="O28" s="436"/>
    </x:row>
    <x:row r="29" ht="18" customHeight="1">
      <x:c r="A29" s="436" t="str">
        <x:v>Diluted shares</x:v>
      </x:c>
      <x:c r="B29" s="560" t="n">
        <x:f>'DCF'!B21</x:f>
        <x:v>168.224</x:v>
      </x:c>
      <x:c r="C29" s="436" t="str">
        <x:v>mm</x:v>
      </x:c>
      <x:c r="D29" s="436" t="str">
        <x:v>S-022 / DCF</x:v>
      </x:c>
      <x:c r="E29" s="579"/>
      <x:c r="F29" s="579"/>
      <x:c r="G29" s="579"/>
      <x:c r="H29" s="585" t="str">
        <x:v>Median announced premium</x:v>
      </x:c>
      <x:c r="I29" s="588" t="n">
        <x:f>M18</x:f>
        <x:v>0.41500000000000004</x:v>
      </x:c>
      <x:c r="J29" s="585" t="str">
        <x:v>Public-target premium sample; reference dates vary</x:v>
      </x:c>
      <x:c r="K29" s="585"/>
      <x:c r="L29" s="585"/>
      <x:c r="M29" s="585"/>
      <x:c r="N29" s="436"/>
      <x:c r="O29" s="436"/>
    </x:row>
    <x:row r="30" ht="18" customHeight="1">
      <x:c r="A30" s="436" t="str">
        <x:v>Current share price</x:v>
      </x:c>
      <x:c r="B30" s="561" t="n">
        <x:v>59.73</x:v>
      </x:c>
      <x:c r="C30" s="436" t="str">
        <x:v>$ / share</x:v>
      </x:c>
      <x:c r="D30" s="436" t="str">
        <x:v>S-039</x:v>
      </x:c>
      <x:c r="E30" s="579"/>
      <x:c r="F30" s="579"/>
      <x:c r="G30" s="579"/>
      <x:c r="H30" s="585" t="str">
        <x:v>Valuation implication</x:v>
      </x:c>
      <x:c r="I30" s="585"/>
      <x:c r="J30" s="585" t="str">
        <x:v>A credible offer must clear the unaffected market price; fundamentals alone do not support the premium indication.</x:v>
      </x:c>
      <x:c r="K30" s="585"/>
      <x:c r="L30" s="585"/>
      <x:c r="M30" s="585"/>
      <x:c r="N30" s="436"/>
      <x:c r="O30" s="436"/>
    </x:row>
    <x:row r="31" ht="18" customHeight="1">
      <x:c r="A31" s="436" t="str">
        <x:v>Analysis date</x:v>
      </x:c>
      <x:c r="B31" s="541" t="n">
        <x:v>46254</x:v>
      </x:c>
      <x:c r="C31" s="436" t="str">
        <x:v>date</x:v>
      </x:c>
      <x:c r="D31" s="436" t="str">
        <x:v>S-039</x:v>
      </x:c>
      <x:c r="E31" s="579"/>
      <x:c r="F31" s="579"/>
      <x:c r="G31" s="579"/>
      <x:c r="H31" s="579"/>
      <x:c r="I31" s="579"/>
      <x:c r="J31" s="579"/>
      <x:c r="K31" s="579"/>
      <x:c r="L31" s="579"/>
      <x:c r="M31" s="579"/>
      <x:c r="N31" s="538"/>
      <x:c r="O31" s="538"/>
    </x:row>
    <x:row r="32" ht="18" customHeight="1">
      <x:c r="A32" s="538"/>
      <x:c r="B32" s="538"/>
      <x:c r="C32" s="538"/>
      <x:c r="D32" s="538"/>
      <x:c r="E32" s="579"/>
      <x:c r="F32" s="579"/>
      <x:c r="G32" s="579"/>
      <x:c r="H32" s="579"/>
      <x:c r="I32" s="579"/>
      <x:c r="J32" s="579"/>
      <x:c r="K32" s="579"/>
      <x:c r="L32" s="579"/>
      <x:c r="M32" s="579"/>
      <x:c r="N32" s="538"/>
      <x:c r="O32" s="538"/>
    </x:row>
    <x:row r="33" ht="18" customHeight="1">
      <x:c r="A33" s="539" t="str">
        <x:v>IMPLIED COGNEX EQUITY VALUE PER SHARE</x:v>
      </x:c>
      <x:c r="B33" s="539"/>
      <x:c r="C33" s="539"/>
      <x:c r="D33" s="539"/>
      <x:c r="E33" s="582"/>
      <x:c r="F33" s="582"/>
      <x:c r="G33" s="582"/>
      <x:c r="H33" s="582"/>
      <x:c r="I33" s="582"/>
      <x:c r="J33" s="579"/>
      <x:c r="K33" s="579"/>
      <x:c r="L33" s="579"/>
      <x:c r="M33" s="579"/>
      <x:c r="N33" s="538"/>
      <x:c r="O33" s="538"/>
    </x:row>
    <x:row r="34" ht="18" customHeight="1">
      <x:c r="A34" s="540" t="str">
        <x:v>Method</x:v>
      </x:c>
      <x:c r="B34" s="540" t="str">
        <x:v>Target metric</x:v>
      </x:c>
      <x:c r="C34" s="540" t="str">
        <x:v>Metric value</x:v>
      </x:c>
      <x:c r="D34" s="540" t="str">
        <x:v>25th %ile</x:v>
      </x:c>
      <x:c r="E34" s="571" t="str">
        <x:v>Median</x:v>
      </x:c>
      <x:c r="F34" s="571" t="str">
        <x:v>75th %ile</x:v>
      </x:c>
      <x:c r="G34" s="571" t="str">
        <x:v>Low</x:v>
      </x:c>
      <x:c r="H34" s="571" t="str">
        <x:v>Median</x:v>
      </x:c>
      <x:c r="I34" s="571" t="str">
        <x:v>High</x:v>
      </x:c>
      <x:c r="J34" s="579"/>
      <x:c r="K34" s="579"/>
      <x:c r="L34" s="579"/>
      <x:c r="M34" s="579"/>
      <x:c r="N34" s="538"/>
      <x:c r="O34" s="538"/>
    </x:row>
    <x:row r="35" ht="18" customHeight="1">
      <x:c r="A35" s="562" t="str">
        <x:v>EV / Revenue</x:v>
      </x:c>
      <x:c r="B35" s="562" t="str">
        <x:v>FY2026E revenue</x:v>
      </x:c>
      <x:c r="C35" s="563" t="n">
        <x:f>B24</x:f>
        <x:v>1140</x:v>
      </x:c>
      <x:c r="D35" s="564" t="n">
        <x:f>J17</x:f>
        <x:v>4.3641543411857</x:v>
      </x:c>
      <x:c r="E35" s="590" t="n">
        <x:f>J18</x:f>
        <x:v>6.026008403361344</x:v>
      </x:c>
      <x:c r="F35" s="590" t="n">
        <x:f>J19</x:f>
        <x:v>7.09577922077922</x:v>
      </x:c>
      <x:c r="G35" s="591" t="n">
        <x:f>(C35*D35+$B$27-$B$28)/$B$29</x:f>
        <x:v>34.0626126411909</x:v>
      </x:c>
      <x:c r="H35" s="592" t="n">
        <x:f>(C35*E35+$B$27-$B$28)/$B$29</x:f>
        <x:v>45.32446369026972</x:v>
      </x:c>
      <x:c r="I35" s="591" t="n">
        <x:f>(C35*F35+$B$27-$B$28)/$B$29</x:f>
        <x:v>52.57395681762598</x:v>
      </x:c>
      <x:c r="J35" s="579"/>
      <x:c r="K35" s="579"/>
      <x:c r="L35" s="579"/>
      <x:c r="M35" s="579"/>
      <x:c r="N35" s="538"/>
      <x:c r="O35" s="538"/>
    </x:row>
    <x:row r="36" ht="18" customHeight="1">
      <x:c r="A36" s="562" t="str">
        <x:v>EV / EBITDA</x:v>
      </x:c>
      <x:c r="B36" s="562" t="str">
        <x:v>FY2026E EBITDA</x:v>
      </x:c>
      <x:c r="C36" s="563" t="n">
        <x:f>B25</x:f>
        <x:v>330.59999999999997</x:v>
      </x:c>
      <x:c r="D36" s="564" t="n">
        <x:f>K17</x:f>
        <x:v>17.60458102486945</x:v>
      </x:c>
      <x:c r="E36" s="590" t="n">
        <x:f>K18</x:f>
        <x:v>18.209162050425775</x:v>
      </x:c>
      <x:c r="F36" s="590" t="n">
        <x:f>K19</x:f>
        <x:v>18.8137430759821</x:v>
      </x:c>
      <x:c r="G36" s="591" t="n">
        <x:f>(C36*D36+$B$27-$B$28)/$B$29</x:f>
        <x:v>39.08531176777297</x:v>
      </x:c>
      <x:c r="H36" s="592" t="n">
        <x:f>(C36*E36+$B$27-$B$28)/$B$29</x:f>
        <x:v>40.27345666415471</x:v>
      </x:c>
      <x:c r="I36" s="591" t="n">
        <x:f>(C36*F36+$B$27-$B$28)/$B$29</x:f>
        <x:v>41.46160156053644</x:v>
      </x:c>
      <x:c r="J36" s="579"/>
      <x:c r="K36" s="579"/>
      <x:c r="L36" s="579"/>
      <x:c r="M36" s="579"/>
      <x:c r="N36" s="538"/>
      <x:c r="O36" s="538"/>
    </x:row>
    <x:row r="37" ht="18" customHeight="1">
      <x:c r="A37" s="562" t="str">
        <x:v>EV / EBIT</x:v>
      </x:c>
      <x:c r="B37" s="562" t="str">
        <x:v>FY2026E EBIT</x:v>
      </x:c>
      <x:c r="C37" s="563" t="n">
        <x:f>B26</x:f>
        <x:v>296.4</x:v>
      </x:c>
      <x:c r="D37" s="564" t="n">
        <x:f>L17</x:f>
        <x:v>26.95712412161137</x:v>
      </x:c>
      <x:c r="E37" s="590" t="n">
        <x:f>L18</x:f>
        <x:v>28.69690627715268</x:v>
      </x:c>
      <x:c r="F37" s="590" t="n">
        <x:f>L19</x:f>
        <x:v>30.43668843269399</x:v>
      </x:c>
      <x:c r="G37" s="591" t="n">
        <x:f>(C37*D37+$B$27-$B$28)/$B$29</x:f>
        <x:v>51.98488081157034</x:v>
      </x:c>
      <x:c r="H37" s="592" t="n">
        <x:f>(C37*E37+$B$27-$B$28)/$B$29</x:f>
        <x:v>55.05026643373155</x:v>
      </x:c>
      <x:c r="I37" s="591" t="n">
        <x:f>(C37*F37+$B$27-$B$28)/$B$29</x:f>
        <x:v>58.11565205589273</x:v>
      </x:c>
      <x:c r="J37" s="579"/>
      <x:c r="K37" s="579"/>
      <x:c r="L37" s="579"/>
      <x:c r="M37" s="579"/>
      <x:c r="N37" s="538"/>
      <x:c r="O37" s="538"/>
    </x:row>
    <x:row r="38" ht="18" customHeight="1">
      <x:c r="A38" s="562" t="str">
        <x:v>Premium paid</x:v>
      </x:c>
      <x:c r="B38" s="562" t="str">
        <x:v>Current share price</x:v>
      </x:c>
      <x:c r="C38" s="567" t="n">
        <x:f>B30</x:f>
        <x:v>59.73</x:v>
      </x:c>
      <x:c r="D38" s="568" t="n">
        <x:f>M17</x:f>
        <x:v>0.3475</x:v>
      </x:c>
      <x:c r="E38" s="593" t="n">
        <x:f>M18</x:f>
        <x:v>0.41500000000000004</x:v>
      </x:c>
      <x:c r="F38" s="593" t="n">
        <x:f>M19</x:f>
        <x:v>0.445</x:v>
      </x:c>
      <x:c r="G38" s="591" t="n">
        <x:f>C38*(1+D38)</x:f>
        <x:v>80.48617499999999</x:v>
      </x:c>
      <x:c r="H38" s="592" t="n">
        <x:f>C38*(1+E38)</x:f>
        <x:v>84.51795</x:v>
      </x:c>
      <x:c r="I38" s="591" t="n">
        <x:f>C38*(1+F38)</x:f>
        <x:v>86.30985</x:v>
      </x:c>
      <x:c r="J38" s="579"/>
      <x:c r="K38" s="579"/>
      <x:c r="L38" s="579"/>
      <x:c r="M38" s="579"/>
      <x:c r="N38" s="538"/>
      <x:c r="O38" s="538"/>
    </x:row>
    <x:row r="39" ht="18" customHeight="1">
      <x:c r="A39" s="538"/>
      <x:c r="B39" s="538"/>
      <x:c r="C39" s="538"/>
      <x:c r="D39" s="538"/>
      <x:c r="E39" s="538"/>
      <x:c r="F39" s="538"/>
      <x:c r="G39" s="538"/>
      <x:c r="H39" s="538"/>
      <x:c r="I39" s="538"/>
      <x:c r="J39" s="538"/>
      <x:c r="K39" s="538"/>
      <x:c r="L39" s="538"/>
      <x:c r="M39" s="538"/>
      <x:c r="N39" s="538"/>
      <x:c r="O39" s="538"/>
    </x:row>
    <x:row r="40" ht="18" customHeight="1">
      <x:c r="A40" s="539" t="str">
        <x:v>ANALYST INTERPRETATION</x:v>
      </x:c>
      <x:c r="B40" s="539"/>
      <x:c r="C40" s="539"/>
      <x:c r="D40" s="539"/>
      <x:c r="E40" s="539"/>
      <x:c r="F40" s="539"/>
      <x:c r="G40" s="539"/>
      <x:c r="H40" s="539"/>
      <x:c r="I40" s="539"/>
      <x:c r="J40" s="539"/>
      <x:c r="K40" s="539"/>
      <x:c r="L40" s="539"/>
      <x:c r="M40" s="539"/>
      <x:c r="N40" s="539"/>
      <x:c r="O40" s="539"/>
    </x:row>
    <x:row r="41" ht="30" customHeight="1">
      <x:c r="A41" s="569" t="str">
        <x:v>Precedent transactions generally imply higher values than the DCF because strategic buyers pay for control, scarcity, and expected synergies. However, the median premium method indicates a value well above the fundamental multiple-based ranges, creating a clear overpayment and value-sharing question for Rockwell.</x:v>
      </x:c>
      <x:c r="B41" s="569"/>
      <x:c r="C41" s="569"/>
      <x:c r="D41" s="569"/>
      <x:c r="E41" s="569"/>
      <x:c r="F41" s="569"/>
      <x:c r="G41" s="569"/>
      <x:c r="H41" s="569"/>
      <x:c r="I41" s="569"/>
      <x:c r="J41" s="569"/>
      <x:c r="K41" s="569"/>
      <x:c r="L41" s="569"/>
      <x:c r="M41" s="569"/>
      <x:c r="N41" s="569"/>
      <x:c r="O41" s="569"/>
    </x:row>
    <x:row r="42" ht="30" customHeight="1">
      <x:c r="A42" s="569" t="str">
        <x:v>The core precedent range emphasizes EV/Revenue and EV/EBITDA. EV/EBIT is corroborative because only two transactions disclose sufficient EBIT data. Altair is shown but excluded from the core multiple statistics because industrial-software economics are not directly comparable to Cognex hardware-led machine vision.</x:v>
      </x:c>
      <x:c r="B42" s="569"/>
      <x:c r="C42" s="569"/>
      <x:c r="D42" s="569"/>
      <x:c r="E42" s="569"/>
      <x:c r="F42" s="569"/>
      <x:c r="G42" s="569"/>
      <x:c r="H42" s="569"/>
      <x:c r="I42" s="569"/>
      <x:c r="J42" s="569"/>
      <x:c r="K42" s="569"/>
      <x:c r="L42" s="569"/>
      <x:c r="M42" s="569"/>
      <x:c r="N42" s="569"/>
      <x:c r="O42" s="569"/>
    </x:row>
    <x:row r="43" ht="30" customHeight="1">
      <x:c r="A43" s="570" t="str">
        <x:v>Data limitation: Private-company and carve-out disclosures are incomplete. Moritex revenue is estimated from management contribution guidance; Matrox revenue is an announced estimate; premium references use different unaffected-price periods.</x:v>
      </x:c>
      <x:c r="B43" s="570"/>
      <x:c r="C43" s="570"/>
      <x:c r="D43" s="570"/>
      <x:c r="E43" s="570"/>
      <x:c r="F43" s="570"/>
      <x:c r="G43" s="570"/>
      <x:c r="H43" s="570"/>
      <x:c r="I43" s="570"/>
      <x:c r="J43" s="570"/>
      <x:c r="K43" s="570"/>
      <x:c r="L43" s="570"/>
      <x:c r="M43" s="570"/>
      <x:c r="N43" s="570"/>
      <x:c r="O43" s="570"/>
    </x:row>
  </x:sheetData>
  <x:mergeCells>
    <x:mergeCell ref="A1:O1"/>
    <x:mergeCell ref="A2:O2"/>
    <x:mergeCell ref="B3:O3"/>
    <x:mergeCell ref="A5:O5"/>
    <x:mergeCell ref="A15:I15"/>
    <x:mergeCell ref="N16:O16"/>
    <x:mergeCell ref="N17:O17"/>
    <x:mergeCell ref="N18:O18"/>
    <x:mergeCell ref="N19:O19"/>
    <x:mergeCell ref="N20:O20"/>
    <x:mergeCell ref="A22:F22"/>
    <x:mergeCell ref="H22:O22"/>
    <x:mergeCell ref="J23:O23"/>
    <x:mergeCell ref="J24:O24"/>
    <x:mergeCell ref="J25:O25"/>
    <x:mergeCell ref="J26:O26"/>
    <x:mergeCell ref="J27:O27"/>
    <x:mergeCell ref="J28:O28"/>
    <x:mergeCell ref="J29:O29"/>
    <x:mergeCell ref="J30:O30"/>
    <x:mergeCell ref="A33:I33"/>
    <x:mergeCell ref="A40:O40"/>
    <x:mergeCell ref="A41:O41"/>
    <x:mergeCell ref="A42:O42"/>
    <x:mergeCell ref="A43:O43"/>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5" hidden="0" customWidth="1"/>
    <x:col min="2" max="2" width="12" hidden="0" customWidth="1"/>
    <x:col min="3" max="3" width="12" hidden="0" customWidth="1"/>
    <x:col min="4" max="4" width="12" hidden="0" customWidth="1"/>
    <x:col min="5" max="5" width="27" hidden="0" customWidth="1"/>
    <x:col min="6" max="6" width="34" hidden="0" customWidth="1"/>
    <x:col min="7" max="7" width="4.199999809265137" hidden="0" customWidth="1"/>
    <x:col min="8" max="8" width="4.199999809265137" hidden="0" customWidth="1"/>
    <x:col min="9" max="9" width="4.199999809265137" hidden="0" customWidth="1"/>
    <x:col min="10" max="10" width="4.199999809265137" hidden="0" customWidth="1"/>
    <x:col min="11" max="11" width="4.199999809265137" hidden="0" customWidth="1"/>
    <x:col min="12" max="12" width="4.199999809265137" hidden="0" customWidth="1"/>
    <x:col min="13" max="13" width="4.199999809265137" hidden="0" customWidth="1"/>
    <x:col min="14" max="14" width="4.199999809265137" hidden="0" customWidth="1"/>
    <x:col min="15" max="15" width="4.199999809265137" hidden="0" customWidth="1"/>
    <x:col min="16" max="16" width="4.199999809265137" hidden="0" customWidth="1"/>
    <x:col min="17" max="17" width="4.199999809265137" hidden="0" customWidth="1"/>
    <x:col min="18" max="18" width="4.199999809265137" hidden="0" customWidth="1"/>
    <x:col min="19" max="19" width="4.199999809265137" hidden="0" customWidth="1"/>
    <x:col min="20" max="20" width="4.199999809265137" hidden="0" customWidth="1"/>
    <x:col min="21" max="21" width="4.199999809265137" hidden="0" customWidth="1"/>
    <x:col min="22" max="22" width="4.199999809265137" hidden="0" customWidth="1"/>
    <x:col min="23" max="23" width="4.199999809265137" hidden="0" customWidth="1"/>
    <x:col min="24" max="24" width="4.199999809265137" hidden="0" customWidth="1"/>
    <x:col min="25" max="25" width="4.199999809265137" hidden="0" customWidth="1"/>
    <x:col min="26" max="26" width="4.199999809265137" hidden="0" customWidth="1"/>
    <x:col min="27" max="27" width="4.199999809265137" hidden="0" customWidth="1"/>
    <x:col min="28" max="28" width="4.199999809265137" hidden="0" customWidth="1"/>
    <x:col min="29" max="29" width="4.199999809265137" hidden="0" customWidth="1"/>
    <x:col min="30" max="30" width="4.199999809265137" hidden="0" customWidth="1"/>
    <x:col min="31" max="31" width="4.199999809265137" hidden="0" customWidth="1"/>
    <x:col min="32" max="32" width="4.199999809265137" hidden="0" customWidth="1"/>
    <x:col min="33" max="33" width="4.199999809265137" hidden="0" customWidth="1"/>
    <x:col min="34" max="34" width="4.199999809265137" hidden="0" customWidth="1"/>
    <x:col min="35" max="35" width="4.199999809265137" hidden="0" customWidth="1"/>
  </x:cols>
  <x:sheetData>
    <x:row r="1" ht="28" customHeight="1">
      <x:c r="A1" s="649" t="str">
        <x:v>Valuation Summary</x:v>
      </x:c>
      <x:c r="B1" s="649"/>
      <x:c r="C1" s="649"/>
      <x:c r="D1" s="649"/>
      <x:c r="E1" s="649"/>
      <x:c r="F1" s="649"/>
      <x:c r="G1" s="649"/>
      <x:c r="H1" s="649"/>
      <x:c r="I1" s="649"/>
      <x:c r="J1" s="649"/>
      <x:c r="K1" s="649"/>
      <x:c r="L1" s="649"/>
      <x:c r="M1" s="649"/>
      <x:c r="N1" s="649"/>
      <x:c r="O1" s="649"/>
      <x:c r="P1" s="649"/>
      <x:c r="Q1" s="649"/>
      <x:c r="R1" s="649"/>
      <x:c r="S1" s="649"/>
      <x:c r="T1" s="649"/>
      <x:c r="U1" s="649"/>
      <x:c r="V1" s="649"/>
      <x:c r="W1" s="649"/>
      <x:c r="X1" s="649"/>
      <x:c r="Y1" s="649"/>
      <x:c r="Z1" s="649"/>
      <x:c r="AA1" s="649"/>
      <x:c r="AB1" s="649"/>
      <x:c r="AC1" s="649"/>
      <x:c r="AD1" s="649"/>
      <x:c r="AE1" s="649"/>
      <x:c r="AF1" s="649"/>
      <x:c r="AG1" s="649"/>
      <x:c r="AH1" s="649"/>
      <x:c r="AI1" s="649"/>
    </x:row>
    <x:row r="2" ht="18" customHeight="1">
      <x:c r="A2" s="650" t="str">
        <x:v>Cognex standalone valuation, acquisition framework, and football field | USD millions except per-share data</x:v>
      </x:c>
      <x:c r="B2" s="650"/>
      <x:c r="C2" s="650"/>
      <x:c r="D2" s="650"/>
      <x:c r="E2" s="650"/>
      <x:c r="F2" s="650"/>
      <x:c r="G2" s="650"/>
      <x:c r="H2" s="650"/>
      <x:c r="I2" s="650"/>
      <x:c r="J2" s="650"/>
      <x:c r="K2" s="650"/>
      <x:c r="L2" s="650"/>
      <x:c r="M2" s="650"/>
      <x:c r="N2" s="650"/>
      <x:c r="O2" s="650"/>
      <x:c r="P2" s="650"/>
      <x:c r="Q2" s="650"/>
      <x:c r="R2" s="650"/>
      <x:c r="S2" s="650"/>
      <x:c r="T2" s="650"/>
      <x:c r="U2" s="650"/>
      <x:c r="V2" s="650"/>
      <x:c r="W2" s="650"/>
      <x:c r="X2" s="650"/>
      <x:c r="Y2" s="650"/>
      <x:c r="Z2" s="650"/>
      <x:c r="AA2" s="650"/>
      <x:c r="AB2" s="650"/>
      <x:c r="AC2" s="650"/>
      <x:c r="AD2" s="650"/>
      <x:c r="AE2" s="650"/>
      <x:c r="AF2" s="650"/>
      <x:c r="AG2" s="650"/>
      <x:c r="AH2" s="650"/>
      <x:c r="AI2" s="650"/>
    </x:row>
    <x:row r="3" ht="18" customHeight="1">
      <x:c r="A3" s="432" t="str">
        <x:v>Status</x:v>
      </x:c>
      <x:c r="B3" s="651" t="str">
        <x:v>Complete — standalone valuation reconciled; illustrative acquisition range established for transaction modeling</x:v>
      </x:c>
      <x:c r="C3" s="651"/>
      <x:c r="D3" s="651"/>
      <x:c r="E3" s="651"/>
      <x:c r="F3" s="651"/>
      <x:c r="G3" s="651"/>
      <x:c r="H3" s="651"/>
      <x:c r="I3" s="651"/>
      <x:c r="J3" s="651"/>
      <x:c r="K3" s="651"/>
      <x:c r="L3" s="651"/>
      <x:c r="M3" s="651"/>
      <x:c r="N3" s="651"/>
      <x:c r="O3" s="651"/>
      <x:c r="P3" s="651"/>
      <x:c r="Q3" s="651"/>
      <x:c r="R3" s="651"/>
      <x:c r="S3" s="651"/>
      <x:c r="T3" s="651"/>
      <x:c r="U3" s="651"/>
      <x:c r="V3" s="651"/>
      <x:c r="W3" s="651"/>
      <x:c r="X3" s="651"/>
      <x:c r="Y3" s="651"/>
      <x:c r="Z3" s="651"/>
      <x:c r="AA3" s="651"/>
      <x:c r="AB3" s="651"/>
      <x:c r="AC3" s="651"/>
      <x:c r="AD3" s="651"/>
      <x:c r="AE3" s="651"/>
      <x:c r="AF3" s="651"/>
      <x:c r="AG3" s="651"/>
      <x:c r="AH3" s="651"/>
      <x:c r="AI3" s="651"/>
    </x:row>
    <x:row r="4" ht="18" customHeight="1">
      <x:c r="A4" s="538"/>
      <x:c r="B4" s="538"/>
      <x:c r="C4" s="538"/>
      <x:c r="D4" s="538"/>
      <x:c r="E4" s="538"/>
      <x:c r="F4" s="538"/>
      <x:c r="G4" s="538"/>
      <x:c r="H4" s="538"/>
      <x:c r="I4" s="538"/>
      <x:c r="J4" s="538"/>
      <x:c r="K4" s="538"/>
      <x:c r="L4" s="538"/>
      <x:c r="M4" s="538"/>
      <x:c r="N4" s="538"/>
      <x:c r="O4" s="538"/>
      <x:c r="P4" s="538"/>
      <x:c r="Q4" s="538"/>
      <x:c r="R4" s="538"/>
      <x:c r="S4" s="538"/>
      <x:c r="T4" s="538"/>
      <x:c r="U4" s="538"/>
      <x:c r="V4" s="538"/>
      <x:c r="W4" s="538"/>
      <x:c r="X4" s="538"/>
      <x:c r="Y4" s="538"/>
      <x:c r="Z4" s="538"/>
      <x:c r="AA4" s="538"/>
      <x:c r="AB4" s="538"/>
      <x:c r="AC4" s="538"/>
      <x:c r="AD4" s="538"/>
      <x:c r="AE4" s="538"/>
      <x:c r="AF4" s="538"/>
      <x:c r="AG4" s="538"/>
      <x:c r="AH4" s="538"/>
      <x:c r="AI4" s="538"/>
    </x:row>
    <x:row r="5" ht="18" customHeight="1">
      <x:c r="A5" s="652" t="str">
        <x:v>KEY VALUATION CONCLUSIONS</x:v>
      </x:c>
      <x:c r="B5" s="652"/>
      <x:c r="C5" s="652"/>
      <x:c r="D5" s="652"/>
      <x:c r="E5" s="652"/>
      <x:c r="F5" s="652"/>
      <x:c r="G5" s="652"/>
      <x:c r="H5" s="652"/>
      <x:c r="I5" s="652"/>
      <x:c r="J5" s="652"/>
      <x:c r="K5" s="652"/>
      <x:c r="L5" s="652"/>
      <x:c r="M5" s="652"/>
      <x:c r="N5" s="652"/>
      <x:c r="O5" s="652"/>
      <x:c r="P5" s="652"/>
      <x:c r="Q5" s="652"/>
      <x:c r="R5" s="652"/>
      <x:c r="S5" s="652"/>
      <x:c r="T5" s="652"/>
      <x:c r="U5" s="652"/>
      <x:c r="V5" s="652"/>
      <x:c r="W5" s="652"/>
      <x:c r="X5" s="652"/>
      <x:c r="Y5" s="652"/>
      <x:c r="Z5" s="652"/>
      <x:c r="AA5" s="652"/>
      <x:c r="AB5" s="652"/>
      <x:c r="AC5" s="652"/>
      <x:c r="AD5" s="652"/>
      <x:c r="AE5" s="652"/>
      <x:c r="AF5" s="652"/>
      <x:c r="AG5" s="652"/>
      <x:c r="AH5" s="652"/>
      <x:c r="AI5" s="652"/>
    </x:row>
    <x:row r="6" ht="20" customHeight="1">
      <x:c r="A6" s="653" t="str">
        <x:v>Unaffected share price</x:v>
      </x:c>
      <x:c r="B6" s="681" t="n">
        <x:f>'Precedent Transactions'!B30</x:f>
        <x:v>59.73</x:v>
      </x:c>
      <x:c r="C6" s="682"/>
      <x:c r="D6" s="585"/>
      <x:c r="E6" s="683" t="str">
        <x:v>Equity purchase price</x:v>
      </x:c>
      <x:c r="F6" s="684" t="n">
        <x:f>B9*'DCF'!B21</x:f>
        <x:v>13457.919999999998</x:v>
      </x:c>
      <x:c r="G6" s="538"/>
      <x:c r="H6" s="657" t="str">
        <x:v>Conclusion: Cognex trades above the standalone DCF and most operating-multiple indications. A $75–$85 acquisition range reflects the premium needed to obtain control, not standalone intrinsic value. The $80 midpoint must therefore be justified through strategic value and synergies, and it will be tested—not assumed—in the financing and accretion/dilution analysis.</x:v>
      </x:c>
      <x:c r="I6" s="657"/>
      <x:c r="J6" s="657"/>
      <x:c r="K6" s="657"/>
      <x:c r="L6" s="657"/>
      <x:c r="M6" s="657"/>
      <x:c r="N6" s="657"/>
      <x:c r="O6" s="657"/>
      <x:c r="P6" s="657"/>
      <x:c r="Q6" s="657"/>
      <x:c r="R6" s="657"/>
      <x:c r="S6" s="657"/>
      <x:c r="T6" s="657"/>
      <x:c r="U6" s="657"/>
      <x:c r="V6" s="657"/>
      <x:c r="W6" s="657"/>
      <x:c r="X6" s="657"/>
      <x:c r="Y6" s="657"/>
      <x:c r="Z6" s="657"/>
      <x:c r="AA6" s="657"/>
      <x:c r="AB6" s="657"/>
      <x:c r="AC6" s="657"/>
      <x:c r="AD6" s="657"/>
      <x:c r="AE6" s="657"/>
      <x:c r="AF6" s="657"/>
      <x:c r="AG6" s="657"/>
      <x:c r="AH6" s="657"/>
      <x:c r="AI6" s="657"/>
    </x:row>
    <x:row r="7" ht="20" customHeight="1">
      <x:c r="A7" s="653" t="str">
        <x:v>Standalone fundamental value</x:v>
      </x:c>
      <x:c r="B7" s="685" t="n">
        <x:v>40</x:v>
      </x:c>
      <x:c r="C7" s="685" t="n">
        <x:v>55</x:v>
      </x:c>
      <x:c r="D7" s="585" t="str">
        <x:v>Low / High</x:v>
      </x:c>
      <x:c r="E7" s="683" t="str">
        <x:v>Transaction enterprise value</x:v>
      </x:c>
      <x:c r="F7" s="684" t="n">
        <x:f>F6-'DCF'!B19+'DCF'!B20</x:f>
        <x:v>12702.906999999997</x:v>
      </x:c>
      <x:c r="G7" s="538"/>
      <x:c r="H7" s="657"/>
      <x:c r="I7" s="657"/>
      <x:c r="J7" s="657"/>
      <x:c r="K7" s="657"/>
      <x:c r="L7" s="657"/>
      <x:c r="M7" s="657"/>
      <x:c r="N7" s="657"/>
      <x:c r="O7" s="657"/>
      <x:c r="P7" s="657"/>
      <x:c r="Q7" s="657"/>
      <x:c r="R7" s="657"/>
      <x:c r="S7" s="657"/>
      <x:c r="T7" s="657"/>
      <x:c r="U7" s="657"/>
      <x:c r="V7" s="657"/>
      <x:c r="W7" s="657"/>
      <x:c r="X7" s="657"/>
      <x:c r="Y7" s="657"/>
      <x:c r="Z7" s="657"/>
      <x:c r="AA7" s="657"/>
      <x:c r="AB7" s="657"/>
      <x:c r="AC7" s="657"/>
      <x:c r="AD7" s="657"/>
      <x:c r="AE7" s="657"/>
      <x:c r="AF7" s="657"/>
      <x:c r="AG7" s="657"/>
      <x:c r="AH7" s="657"/>
      <x:c r="AI7" s="657"/>
    </x:row>
    <x:row r="8" ht="20" customHeight="1">
      <x:c r="A8" s="653" t="str">
        <x:v>Acquisition negotiation range</x:v>
      </x:c>
      <x:c r="B8" s="685" t="n">
        <x:v>75</x:v>
      </x:c>
      <x:c r="C8" s="685" t="n">
        <x:v>85</x:v>
      </x:c>
      <x:c r="D8" s="585" t="str">
        <x:v>Low / High</x:v>
      </x:c>
      <x:c r="E8" s="683" t="str">
        <x:v>Implied EV / FY2026E revenue</x:v>
      </x:c>
      <x:c r="F8" s="686" t="n">
        <x:f>F7/'CGNX Operating Model'!E20</x:f>
        <x:v>11.14290087719298</x:v>
      </x:c>
      <x:c r="G8" s="538"/>
      <x:c r="H8" s="657"/>
      <x:c r="I8" s="657"/>
      <x:c r="J8" s="657"/>
      <x:c r="K8" s="657"/>
      <x:c r="L8" s="657"/>
      <x:c r="M8" s="657"/>
      <x:c r="N8" s="657"/>
      <x:c r="O8" s="657"/>
      <x:c r="P8" s="657"/>
      <x:c r="Q8" s="657"/>
      <x:c r="R8" s="657"/>
      <x:c r="S8" s="657"/>
      <x:c r="T8" s="657"/>
      <x:c r="U8" s="657"/>
      <x:c r="V8" s="657"/>
      <x:c r="W8" s="657"/>
      <x:c r="X8" s="657"/>
      <x:c r="Y8" s="657"/>
      <x:c r="Z8" s="657"/>
      <x:c r="AA8" s="657"/>
      <x:c r="AB8" s="657"/>
      <x:c r="AC8" s="657"/>
      <x:c r="AD8" s="657"/>
      <x:c r="AE8" s="657"/>
      <x:c r="AF8" s="657"/>
      <x:c r="AG8" s="657"/>
      <x:c r="AH8" s="657"/>
      <x:c r="AI8" s="657"/>
    </x:row>
    <x:row r="9" ht="20" customHeight="1">
      <x:c r="A9" s="653" t="str">
        <x:v>Illustrative offer / share</x:v>
      </x:c>
      <x:c r="B9" s="687" t="n">
        <x:f>AVERAGE(B8:C8)</x:f>
        <x:v>80</x:v>
      </x:c>
      <x:c r="C9" s="682"/>
      <x:c r="D9" s="585"/>
      <x:c r="E9" s="683" t="str">
        <x:v>Implied EV / FY2026E EBITDA</x:v>
      </x:c>
      <x:c r="F9" s="686" t="n">
        <x:f>F7/'CGNX Operating Model'!E32</x:f>
        <x:v>38.42379612825166</x:v>
      </x:c>
      <x:c r="G9" s="538"/>
      <x:c r="H9" s="657"/>
      <x:c r="I9" s="657"/>
      <x:c r="J9" s="657"/>
      <x:c r="K9" s="657"/>
      <x:c r="L9" s="657"/>
      <x:c r="M9" s="657"/>
      <x:c r="N9" s="657"/>
      <x:c r="O9" s="657"/>
      <x:c r="P9" s="657"/>
      <x:c r="Q9" s="657"/>
      <x:c r="R9" s="657"/>
      <x:c r="S9" s="657"/>
      <x:c r="T9" s="657"/>
      <x:c r="U9" s="657"/>
      <x:c r="V9" s="657"/>
      <x:c r="W9" s="657"/>
      <x:c r="X9" s="657"/>
      <x:c r="Y9" s="657"/>
      <x:c r="Z9" s="657"/>
      <x:c r="AA9" s="657"/>
      <x:c r="AB9" s="657"/>
      <x:c r="AC9" s="657"/>
      <x:c r="AD9" s="657"/>
      <x:c r="AE9" s="657"/>
      <x:c r="AF9" s="657"/>
      <x:c r="AG9" s="657"/>
      <x:c r="AH9" s="657"/>
      <x:c r="AI9" s="657"/>
    </x:row>
    <x:row r="10" ht="20" customHeight="1">
      <x:c r="A10" s="653" t="str">
        <x:v>Premium to unaffected price</x:v>
      </x:c>
      <x:c r="B10" s="688" t="n">
        <x:f>B9/B6-1</x:f>
        <x:v>0.3393604553825549</x:v>
      </x:c>
      <x:c r="C10" s="585"/>
      <x:c r="D10" s="585"/>
      <x:c r="E10" s="683" t="str">
        <x:v>Implied FY2026E P / E</x:v>
      </x:c>
      <x:c r="F10" s="686" t="n">
        <x:f>B9/'Trading Comps'!B28</x:f>
        <x:v>53.484315789473676</x:v>
      </x:c>
      <x:c r="G10" s="538"/>
      <x:c r="H10" s="657"/>
      <x:c r="I10" s="657"/>
      <x:c r="J10" s="657"/>
      <x:c r="K10" s="657"/>
      <x:c r="L10" s="657"/>
      <x:c r="M10" s="657"/>
      <x:c r="N10" s="657"/>
      <x:c r="O10" s="657"/>
      <x:c r="P10" s="657"/>
      <x:c r="Q10" s="657"/>
      <x:c r="R10" s="657"/>
      <x:c r="S10" s="657"/>
      <x:c r="T10" s="657"/>
      <x:c r="U10" s="657"/>
      <x:c r="V10" s="657"/>
      <x:c r="W10" s="657"/>
      <x:c r="X10" s="657"/>
      <x:c r="Y10" s="657"/>
      <x:c r="Z10" s="657"/>
      <x:c r="AA10" s="657"/>
      <x:c r="AB10" s="657"/>
      <x:c r="AC10" s="657"/>
      <x:c r="AD10" s="657"/>
      <x:c r="AE10" s="657"/>
      <x:c r="AF10" s="657"/>
      <x:c r="AG10" s="657"/>
      <x:c r="AH10" s="657"/>
      <x:c r="AI10" s="657"/>
    </x:row>
    <x:row r="11" ht="18" customHeight="1">
      <x:c r="A11" s="538"/>
      <x:c r="B11" s="579"/>
      <x:c r="C11" s="579"/>
      <x:c r="D11" s="579"/>
      <x:c r="E11" s="579"/>
      <x:c r="F11" s="579"/>
      <x:c r="G11" s="538"/>
      <x:c r="H11" s="538"/>
      <x:c r="I11" s="538"/>
      <x:c r="J11" s="538"/>
      <x:c r="K11" s="538"/>
      <x:c r="L11" s="538"/>
      <x:c r="M11" s="538"/>
      <x:c r="N11" s="538"/>
      <x:c r="O11" s="538"/>
      <x:c r="P11" s="538"/>
      <x:c r="Q11" s="538"/>
      <x:c r="R11" s="538"/>
      <x:c r="S11" s="538"/>
      <x:c r="T11" s="538"/>
      <x:c r="U11" s="538"/>
      <x:c r="V11" s="538"/>
      <x:c r="W11" s="538"/>
      <x:c r="X11" s="538"/>
      <x:c r="Y11" s="538"/>
      <x:c r="Z11" s="538"/>
      <x:c r="AA11" s="538"/>
      <x:c r="AB11" s="538"/>
      <x:c r="AC11" s="538"/>
      <x:c r="AD11" s="538"/>
      <x:c r="AE11" s="538"/>
      <x:c r="AF11" s="538"/>
      <x:c r="AG11" s="538"/>
      <x:c r="AH11" s="538"/>
      <x:c r="AI11" s="538"/>
    </x:row>
    <x:row r="12" ht="18" customHeight="1">
      <x:c r="A12" s="652" t="str">
        <x:v>VALUATION METHOD RANGES</x:v>
      </x:c>
      <x:c r="B12" s="689"/>
      <x:c r="C12" s="689"/>
      <x:c r="D12" s="689"/>
      <x:c r="E12" s="689"/>
      <x:c r="F12" s="689"/>
      <x:c r="G12" s="652"/>
      <x:c r="H12" s="652"/>
      <x:c r="I12" s="652"/>
      <x:c r="J12" s="652"/>
      <x:c r="K12" s="652"/>
      <x:c r="L12" s="652"/>
      <x:c r="M12" s="652"/>
      <x:c r="N12" s="652"/>
      <x:c r="O12" s="652"/>
      <x:c r="P12" s="652"/>
      <x:c r="Q12" s="652"/>
      <x:c r="R12" s="652"/>
      <x:c r="S12" s="652"/>
      <x:c r="T12" s="652"/>
      <x:c r="U12" s="652"/>
      <x:c r="V12" s="652"/>
      <x:c r="W12" s="652"/>
      <x:c r="X12" s="652"/>
      <x:c r="Y12" s="652"/>
      <x:c r="Z12" s="652"/>
      <x:c r="AA12" s="652"/>
      <x:c r="AB12" s="652"/>
      <x:c r="AC12" s="652"/>
      <x:c r="AD12" s="652"/>
      <x:c r="AE12" s="652"/>
      <x:c r="AF12" s="652"/>
      <x:c r="AG12" s="652"/>
      <x:c r="AH12" s="652"/>
      <x:c r="AI12" s="652"/>
    </x:row>
    <x:row r="13" ht="18" customHeight="1">
      <x:c r="A13" s="653" t="str">
        <x:v>Method</x:v>
      </x:c>
      <x:c r="B13" s="683" t="str">
        <x:v>Low</x:v>
      </x:c>
      <x:c r="C13" s="683" t="str">
        <x:v>Midpoint</x:v>
      </x:c>
      <x:c r="D13" s="683" t="str">
        <x:v>High</x:v>
      </x:c>
      <x:c r="E13" s="690" t="str">
        <x:v>Role in conclusion</x:v>
      </x:c>
      <x:c r="F13" s="690" t="str">
        <x:v>Source / methodology</x:v>
      </x:c>
      <x:c r="G13" s="538"/>
      <x:c r="H13" s="538"/>
      <x:c r="I13" s="538"/>
      <x:c r="J13" s="538"/>
      <x:c r="K13" s="538"/>
      <x:c r="L13" s="538"/>
      <x:c r="M13" s="538"/>
      <x:c r="N13" s="538"/>
      <x:c r="O13" s="538"/>
      <x:c r="P13" s="538"/>
      <x:c r="Q13" s="538"/>
      <x:c r="R13" s="538"/>
      <x:c r="S13" s="538"/>
      <x:c r="T13" s="538"/>
      <x:c r="U13" s="538"/>
      <x:c r="V13" s="538"/>
      <x:c r="W13" s="538"/>
      <x:c r="X13" s="538"/>
      <x:c r="Y13" s="538"/>
      <x:c r="Z13" s="538"/>
      <x:c r="AA13" s="538"/>
      <x:c r="AB13" s="538"/>
      <x:c r="AC13" s="538"/>
      <x:c r="AD13" s="538"/>
      <x:c r="AE13" s="538"/>
      <x:c r="AF13" s="538"/>
      <x:c r="AG13" s="538"/>
      <x:c r="AH13" s="538"/>
      <x:c r="AI13" s="538"/>
    </x:row>
    <x:row r="14" ht="18" customHeight="1">
      <x:c r="A14" s="436" t="str">
        <x:v>DCF</x:v>
      </x:c>
      <x:c r="B14" s="691" t="n">
        <x:f>'DCF'!C53</x:f>
        <x:v>22.952969785087355</x:v>
      </x:c>
      <x:c r="C14" s="691" t="n">
        <x:f>'DCF'!D52</x:f>
        <x:v>25.791148957127746</x:v>
      </x:c>
      <x:c r="D14" s="691" t="n">
        <x:f>'DCF'!E51</x:f>
        <x:v>29.773560899538765</x:v>
      </x:c>
      <x:c r="E14" s="692" t="str">
        <x:v>Intrinsic-value anchor</x:v>
      </x:c>
      <x:c r="F14" s="692" t="str">
        <x:v>±1.0% WACC and ±0.5% TGR around base</x:v>
      </x:c>
      <x:c r="G14" s="538"/>
      <x:c r="H14" s="538"/>
      <x:c r="I14" s="538"/>
      <x:c r="J14" s="538"/>
      <x:c r="K14" s="538"/>
      <x:c r="L14" s="538"/>
      <x:c r="M14" s="538"/>
      <x:c r="N14" s="538"/>
      <x:c r="O14" s="538"/>
      <x:c r="P14" s="538"/>
      <x:c r="Q14" s="538"/>
      <x:c r="R14" s="538"/>
      <x:c r="S14" s="538"/>
      <x:c r="T14" s="538"/>
      <x:c r="U14" s="538"/>
      <x:c r="V14" s="538"/>
      <x:c r="W14" s="538"/>
      <x:c r="X14" s="538"/>
      <x:c r="Y14" s="538"/>
      <x:c r="Z14" s="538"/>
      <x:c r="AA14" s="538"/>
      <x:c r="AB14" s="538"/>
      <x:c r="AC14" s="538"/>
      <x:c r="AD14" s="538"/>
      <x:c r="AE14" s="538"/>
      <x:c r="AF14" s="538"/>
      <x:c r="AG14" s="538"/>
      <x:c r="AH14" s="538"/>
      <x:c r="AI14" s="538"/>
    </x:row>
    <x:row r="15" ht="18" customHeight="1">
      <x:c r="A15" s="436" t="str">
        <x:v>Trading — EV / Revenue</x:v>
      </x:c>
      <x:c r="B15" s="691" t="n">
        <x:f>'Trading Comps'!G35</x:f>
        <x:v>34.7460112706867</x:v>
      </x:c>
      <x:c r="C15" s="691" t="n">
        <x:f>'Trading Comps'!H35</x:f>
        <x:v>39.79463691268784</x:v>
      </x:c>
      <x:c r="D15" s="691" t="n">
        <x:f>'Trading Comps'!I35</x:f>
        <x:v>50.94227339737494</x:v>
      </x:c>
      <x:c r="E15" s="692" t="str">
        <x:v>Core operating benchmark</x:v>
      </x:c>
      <x:c r="F15" s="692" t="str">
        <x:v>25th–75th percentile</x:v>
      </x:c>
      <x:c r="G15" s="538"/>
      <x:c r="H15" s="538"/>
      <x:c r="I15" s="538"/>
      <x:c r="J15" s="538"/>
      <x:c r="K15" s="538"/>
      <x:c r="L15" s="538"/>
      <x:c r="M15" s="538"/>
      <x:c r="N15" s="538"/>
      <x:c r="O15" s="538"/>
      <x:c r="P15" s="538"/>
      <x:c r="Q15" s="538"/>
      <x:c r="R15" s="538"/>
      <x:c r="S15" s="538"/>
      <x:c r="T15" s="538"/>
      <x:c r="U15" s="538"/>
      <x:c r="V15" s="538"/>
      <x:c r="W15" s="538"/>
      <x:c r="X15" s="538"/>
      <x:c r="Y15" s="538"/>
      <x:c r="Z15" s="538"/>
      <x:c r="AA15" s="538"/>
      <x:c r="AB15" s="538"/>
      <x:c r="AC15" s="538"/>
      <x:c r="AD15" s="538"/>
      <x:c r="AE15" s="538"/>
      <x:c r="AF15" s="538"/>
      <x:c r="AG15" s="538"/>
      <x:c r="AH15" s="538"/>
      <x:c r="AI15" s="538"/>
    </x:row>
    <x:row r="16" ht="18" customHeight="1">
      <x:c r="A16" s="436" t="str">
        <x:v>Trading — EV / EBITDA</x:v>
      </x:c>
      <x:c r="B16" s="691" t="n">
        <x:f>'Trading Comps'!G36</x:f>
        <x:v>39.20896245482214</x:v>
      </x:c>
      <x:c r="C16" s="691" t="n">
        <x:f>'Trading Comps'!H36</x:f>
        <x:v>43.144349201065246</x:v>
      </x:c>
      <x:c r="D16" s="691" t="n">
        <x:f>'Trading Comps'!I36</x:f>
        <x:v>51.36886532242725</x:v>
      </x:c>
      <x:c r="E16" s="692" t="str">
        <x:v>Core operating benchmark</x:v>
      </x:c>
      <x:c r="F16" s="692" t="str">
        <x:v>25th–75th percentile</x:v>
      </x:c>
      <x:c r="G16" s="538"/>
      <x:c r="H16" s="538"/>
      <x:c r="I16" s="538"/>
      <x:c r="J16" s="538"/>
      <x:c r="K16" s="538"/>
      <x:c r="L16" s="538"/>
      <x:c r="M16" s="538"/>
      <x:c r="N16" s="538"/>
      <x:c r="O16" s="538"/>
      <x:c r="P16" s="538"/>
      <x:c r="Q16" s="538"/>
      <x:c r="R16" s="538"/>
      <x:c r="S16" s="538"/>
      <x:c r="T16" s="538"/>
      <x:c r="U16" s="538"/>
      <x:c r="V16" s="538"/>
      <x:c r="W16" s="538"/>
      <x:c r="X16" s="538"/>
      <x:c r="Y16" s="538"/>
      <x:c r="Z16" s="538"/>
      <x:c r="AA16" s="538"/>
      <x:c r="AB16" s="538"/>
      <x:c r="AC16" s="538"/>
      <x:c r="AD16" s="538"/>
      <x:c r="AE16" s="538"/>
      <x:c r="AF16" s="538"/>
      <x:c r="AG16" s="538"/>
      <x:c r="AH16" s="538"/>
      <x:c r="AI16" s="538"/>
    </x:row>
    <x:row r="17" ht="18" customHeight="1">
      <x:c r="A17" s="436" t="str">
        <x:v>Trading — EV / EBIT</x:v>
      </x:c>
      <x:c r="B17" s="691" t="n">
        <x:f>'Trading Comps'!G37</x:f>
        <x:v>46.95080963477268</x:v>
      </x:c>
      <x:c r="C17" s="691" t="n">
        <x:f>'Trading Comps'!H37</x:f>
        <x:v>52.9061548887198</x:v>
      </x:c>
      <x:c r="D17" s="691" t="n">
        <x:f>'Trading Comps'!I37</x:f>
        <x:v>55.328817529008944</x:v>
      </x:c>
      <x:c r="E17" s="692" t="str">
        <x:v>Corroborative</x:v>
      </x:c>
      <x:c r="F17" s="692" t="str">
        <x:v>25th–75th percentile</x:v>
      </x:c>
      <x:c r="G17" s="538"/>
      <x:c r="H17" s="538"/>
      <x:c r="I17" s="538"/>
      <x:c r="J17" s="538"/>
      <x:c r="K17" s="538"/>
      <x:c r="L17" s="538"/>
      <x:c r="M17" s="538"/>
      <x:c r="N17" s="538"/>
      <x:c r="O17" s="538"/>
      <x:c r="P17" s="538"/>
      <x:c r="Q17" s="538"/>
      <x:c r="R17" s="538"/>
      <x:c r="S17" s="538"/>
      <x:c r="T17" s="538"/>
      <x:c r="U17" s="538"/>
      <x:c r="V17" s="538"/>
      <x:c r="W17" s="538"/>
      <x:c r="X17" s="538"/>
      <x:c r="Y17" s="538"/>
      <x:c r="Z17" s="538"/>
      <x:c r="AA17" s="538"/>
      <x:c r="AB17" s="538"/>
      <x:c r="AC17" s="538"/>
      <x:c r="AD17" s="538"/>
      <x:c r="AE17" s="538"/>
      <x:c r="AF17" s="538"/>
      <x:c r="AG17" s="538"/>
      <x:c r="AH17" s="538"/>
      <x:c r="AI17" s="538"/>
    </x:row>
    <x:row r="18" ht="18" customHeight="1">
      <x:c r="A18" s="436" t="str">
        <x:v>Trading — P / E</x:v>
      </x:c>
      <x:c r="B18" s="691" t="n">
        <x:f>'Trading Comps'!G38</x:f>
        <x:v>49.89126177669402</x:v>
      </x:c>
      <x:c r="C18" s="691" t="n">
        <x:f>'Trading Comps'!H38</x:f>
        <x:v>54.28133382929772</x:v>
      </x:c>
      <x:c r="D18" s="691" t="n">
        <x:f>'Trading Comps'!I38</x:f>
        <x:v>58.73871533415601</x:v>
      </x:c>
      <x:c r="E18" s="692" t="str">
        <x:v>Equity-value corroboration</x:v>
      </x:c>
      <x:c r="F18" s="692" t="str">
        <x:v>25th–75th percentile</x:v>
      </x:c>
      <x:c r="G18" s="538"/>
      <x:c r="H18" s="538"/>
      <x:c r="I18" s="538"/>
      <x:c r="J18" s="538"/>
      <x:c r="K18" s="538"/>
      <x:c r="L18" s="538"/>
      <x:c r="M18" s="538"/>
      <x:c r="N18" s="538"/>
      <x:c r="O18" s="538"/>
      <x:c r="P18" s="538"/>
      <x:c r="Q18" s="538"/>
      <x:c r="R18" s="538"/>
      <x:c r="S18" s="538"/>
      <x:c r="T18" s="538"/>
      <x:c r="U18" s="538"/>
      <x:c r="V18" s="538"/>
      <x:c r="W18" s="538"/>
      <x:c r="X18" s="538"/>
      <x:c r="Y18" s="538"/>
      <x:c r="Z18" s="538"/>
      <x:c r="AA18" s="538"/>
      <x:c r="AB18" s="538"/>
      <x:c r="AC18" s="538"/>
      <x:c r="AD18" s="538"/>
      <x:c r="AE18" s="538"/>
      <x:c r="AF18" s="538"/>
      <x:c r="AG18" s="538"/>
      <x:c r="AH18" s="538"/>
      <x:c r="AI18" s="538"/>
    </x:row>
    <x:row r="19" ht="18" customHeight="1">
      <x:c r="A19" s="436" t="str">
        <x:v>Precedent — EV / Revenue</x:v>
      </x:c>
      <x:c r="B19" s="691" t="n">
        <x:f>'Precedent Transactions'!G35</x:f>
        <x:v>34.0626126411909</x:v>
      </x:c>
      <x:c r="C19" s="691" t="n">
        <x:f>'Precedent Transactions'!H35</x:f>
        <x:v>45.32446369026972</x:v>
      </x:c>
      <x:c r="D19" s="691" t="n">
        <x:f>'Precedent Transactions'!I35</x:f>
        <x:v>52.57395681762598</x:v>
      </x:c>
      <x:c r="E19" s="692" t="str">
        <x:v>Strategic transaction benchmark</x:v>
      </x:c>
      <x:c r="F19" s="692" t="str">
        <x:v>25th–75th percentile</x:v>
      </x:c>
      <x:c r="G19" s="538"/>
      <x:c r="H19" s="538"/>
      <x:c r="I19" s="538"/>
      <x:c r="J19" s="538"/>
      <x:c r="K19" s="538"/>
      <x:c r="L19" s="538"/>
      <x:c r="M19" s="538"/>
      <x:c r="N19" s="538"/>
      <x:c r="O19" s="538"/>
      <x:c r="P19" s="538"/>
      <x:c r="Q19" s="538"/>
      <x:c r="R19" s="538"/>
      <x:c r="S19" s="538"/>
      <x:c r="T19" s="538"/>
      <x:c r="U19" s="538"/>
      <x:c r="V19" s="538"/>
      <x:c r="W19" s="538"/>
      <x:c r="X19" s="538"/>
      <x:c r="Y19" s="538"/>
      <x:c r="Z19" s="538"/>
      <x:c r="AA19" s="538"/>
      <x:c r="AB19" s="538"/>
      <x:c r="AC19" s="538"/>
      <x:c r="AD19" s="538"/>
      <x:c r="AE19" s="538"/>
      <x:c r="AF19" s="538"/>
      <x:c r="AG19" s="538"/>
      <x:c r="AH19" s="538"/>
      <x:c r="AI19" s="538"/>
    </x:row>
    <x:row r="20" ht="18" customHeight="1">
      <x:c r="A20" s="436" t="str">
        <x:v>Precedent — EV / EBITDA</x:v>
      </x:c>
      <x:c r="B20" s="691" t="n">
        <x:f>'Precedent Transactions'!G36</x:f>
        <x:v>39.08531176777297</x:v>
      </x:c>
      <x:c r="C20" s="691" t="n">
        <x:f>'Precedent Transactions'!H36</x:f>
        <x:v>40.27345666415471</x:v>
      </x:c>
      <x:c r="D20" s="691" t="n">
        <x:f>'Precedent Transactions'!I36</x:f>
        <x:v>41.46160156053644</x:v>
      </x:c>
      <x:c r="E20" s="692" t="str">
        <x:v>Strategic transaction benchmark</x:v>
      </x:c>
      <x:c r="F20" s="692" t="str">
        <x:v>25th–75th percentile</x:v>
      </x:c>
      <x:c r="G20" s="538"/>
      <x:c r="H20" s="538"/>
      <x:c r="I20" s="538"/>
      <x:c r="J20" s="538"/>
      <x:c r="K20" s="538"/>
      <x:c r="L20" s="538"/>
      <x:c r="M20" s="538"/>
      <x:c r="N20" s="538"/>
      <x:c r="O20" s="538"/>
      <x:c r="P20" s="538"/>
      <x:c r="Q20" s="538"/>
      <x:c r="R20" s="538"/>
      <x:c r="S20" s="538"/>
      <x:c r="T20" s="538"/>
      <x:c r="U20" s="538"/>
      <x:c r="V20" s="538"/>
      <x:c r="W20" s="538"/>
      <x:c r="X20" s="538"/>
      <x:c r="Y20" s="538"/>
      <x:c r="Z20" s="538"/>
      <x:c r="AA20" s="538"/>
      <x:c r="AB20" s="538"/>
      <x:c r="AC20" s="538"/>
      <x:c r="AD20" s="538"/>
      <x:c r="AE20" s="538"/>
      <x:c r="AF20" s="538"/>
      <x:c r="AG20" s="538"/>
      <x:c r="AH20" s="538"/>
      <x:c r="AI20" s="538"/>
    </x:row>
    <x:row r="21" ht="18" customHeight="1">
      <x:c r="A21" s="436" t="str">
        <x:v>Precedent — EV / EBIT</x:v>
      </x:c>
      <x:c r="B21" s="691" t="n">
        <x:f>'Precedent Transactions'!G37</x:f>
        <x:v>51.98488081157034</x:v>
      </x:c>
      <x:c r="C21" s="691" t="n">
        <x:f>'Precedent Transactions'!H37</x:f>
        <x:v>55.05026643373155</x:v>
      </x:c>
      <x:c r="D21" s="691" t="n">
        <x:f>'Precedent Transactions'!I37</x:f>
        <x:v>58.11565205589273</x:v>
      </x:c>
      <x:c r="E21" s="692" t="str">
        <x:v>Corroborative; limited observations</x:v>
      </x:c>
      <x:c r="F21" s="692" t="str">
        <x:v>25th–75th percentile</x:v>
      </x:c>
      <x:c r="G21" s="538"/>
      <x:c r="H21" s="538"/>
      <x:c r="I21" s="538"/>
      <x:c r="J21" s="538"/>
      <x:c r="K21" s="538"/>
      <x:c r="L21" s="538"/>
      <x:c r="M21" s="538"/>
      <x:c r="N21" s="538"/>
      <x:c r="O21" s="538"/>
      <x:c r="P21" s="538"/>
      <x:c r="Q21" s="538"/>
      <x:c r="R21" s="538"/>
      <x:c r="S21" s="538"/>
      <x:c r="T21" s="538"/>
      <x:c r="U21" s="538"/>
      <x:c r="V21" s="538"/>
      <x:c r="W21" s="538"/>
      <x:c r="X21" s="538"/>
      <x:c r="Y21" s="538"/>
      <x:c r="Z21" s="538"/>
      <x:c r="AA21" s="538"/>
      <x:c r="AB21" s="538"/>
      <x:c r="AC21" s="538"/>
      <x:c r="AD21" s="538"/>
      <x:c r="AE21" s="538"/>
      <x:c r="AF21" s="538"/>
      <x:c r="AG21" s="538"/>
      <x:c r="AH21" s="538"/>
      <x:c r="AI21" s="538"/>
    </x:row>
    <x:row r="22" ht="18" customHeight="1">
      <x:c r="A22" s="436" t="str">
        <x:v>Precedent — Premium Paid</x:v>
      </x:c>
      <x:c r="B22" s="691" t="n">
        <x:f>'Precedent Transactions'!G38</x:f>
        <x:v>80.48617499999999</x:v>
      </x:c>
      <x:c r="C22" s="691" t="n">
        <x:f>'Precedent Transactions'!H38</x:f>
        <x:v>84.51795</x:v>
      </x:c>
      <x:c r="D22" s="691" t="n">
        <x:f>'Precedent Transactions'!I38</x:f>
        <x:v>86.30985</x:v>
      </x:c>
      <x:c r="E22" s="692" t="str">
        <x:v>Control-price benchmark</x:v>
      </x:c>
      <x:c r="F22" s="692" t="str">
        <x:v>25th–75th percentile</x:v>
      </x:c>
      <x:c r="G22" s="538"/>
      <x:c r="H22" s="538"/>
      <x:c r="I22" s="538"/>
      <x:c r="J22" s="538"/>
      <x:c r="K22" s="538"/>
      <x:c r="L22" s="538"/>
      <x:c r="M22" s="538"/>
      <x:c r="N22" s="538"/>
      <x:c r="O22" s="538"/>
      <x:c r="P22" s="538"/>
      <x:c r="Q22" s="538"/>
      <x:c r="R22" s="538"/>
      <x:c r="S22" s="538"/>
      <x:c r="T22" s="538"/>
      <x:c r="U22" s="538"/>
      <x:c r="V22" s="538"/>
      <x:c r="W22" s="538"/>
      <x:c r="X22" s="538"/>
      <x:c r="Y22" s="538"/>
      <x:c r="Z22" s="538"/>
      <x:c r="AA22" s="538"/>
      <x:c r="AB22" s="538"/>
      <x:c r="AC22" s="538"/>
      <x:c r="AD22" s="538"/>
      <x:c r="AE22" s="538"/>
      <x:c r="AF22" s="538"/>
      <x:c r="AG22" s="538"/>
      <x:c r="AH22" s="538"/>
      <x:c r="AI22" s="538"/>
    </x:row>
    <x:row r="23" ht="18" customHeight="1">
      <x:c r="A23" s="436" t="str">
        <x:v>Unaffected Share Price</x:v>
      </x:c>
      <x:c r="B23" s="691" t="n">
        <x:f>'Precedent Transactions'!B30</x:f>
        <x:v>59.73</x:v>
      </x:c>
      <x:c r="C23" s="691" t="n">
        <x:f>'Precedent Transactions'!B30</x:f>
        <x:v>59.73</x:v>
      </x:c>
      <x:c r="D23" s="691" t="n">
        <x:f>'Precedent Transactions'!B30</x:f>
        <x:v>59.73</x:v>
      </x:c>
      <x:c r="E23" s="692" t="str">
        <x:v>Market reference / practical floor</x:v>
      </x:c>
      <x:c r="F23" s="692" t="str">
        <x:v>Aug. 20, 2026 closing price</x:v>
      </x:c>
      <x:c r="G23" s="538"/>
      <x:c r="H23" s="538"/>
      <x:c r="I23" s="538"/>
      <x:c r="J23" s="538"/>
      <x:c r="K23" s="538"/>
      <x:c r="L23" s="538"/>
      <x:c r="M23" s="538"/>
      <x:c r="N23" s="538"/>
      <x:c r="O23" s="538"/>
      <x:c r="P23" s="538"/>
      <x:c r="Q23" s="538"/>
      <x:c r="R23" s="538"/>
      <x:c r="S23" s="538"/>
      <x:c r="T23" s="538"/>
      <x:c r="U23" s="538"/>
      <x:c r="V23" s="538"/>
      <x:c r="W23" s="538"/>
      <x:c r="X23" s="538"/>
      <x:c r="Y23" s="538"/>
      <x:c r="Z23" s="538"/>
      <x:c r="AA23" s="538"/>
      <x:c r="AB23" s="538"/>
      <x:c r="AC23" s="538"/>
      <x:c r="AD23" s="538"/>
      <x:c r="AE23" s="538"/>
      <x:c r="AF23" s="538"/>
      <x:c r="AG23" s="538"/>
      <x:c r="AH23" s="538"/>
      <x:c r="AI23" s="538"/>
    </x:row>
    <x:row r="24" ht="18" customHeight="1">
      <x:c r="A24" s="665" t="str">
        <x:v>Acquisition Range</x:v>
      </x:c>
      <x:c r="B24" s="693" t="n">
        <x:f>B8</x:f>
        <x:v>75</x:v>
      </x:c>
      <x:c r="C24" s="693" t="n">
        <x:f>B9</x:f>
        <x:v>80</x:v>
      </x:c>
      <x:c r="D24" s="693" t="n">
        <x:f>C8</x:f>
        <x:v>85</x:v>
      </x:c>
      <x:c r="E24" s="694" t="str">
        <x:v>Illustrative transaction framework</x:v>
      </x:c>
      <x:c r="F24" s="694" t="str">
        <x:v>Analyst judgment; subject to transaction testing</x:v>
      </x:c>
      <x:c r="G24" s="538"/>
      <x:c r="H24" s="538"/>
      <x:c r="I24" s="538"/>
      <x:c r="J24" s="538"/>
      <x:c r="K24" s="538"/>
      <x:c r="L24" s="538"/>
      <x:c r="M24" s="538"/>
      <x:c r="N24" s="538"/>
      <x:c r="O24" s="538"/>
      <x:c r="P24" s="538"/>
      <x:c r="Q24" s="538"/>
      <x:c r="R24" s="538"/>
      <x:c r="S24" s="538"/>
      <x:c r="T24" s="538"/>
      <x:c r="U24" s="538"/>
      <x:c r="V24" s="538"/>
      <x:c r="W24" s="538"/>
      <x:c r="X24" s="538"/>
      <x:c r="Y24" s="538"/>
      <x:c r="Z24" s="538"/>
      <x:c r="AA24" s="538"/>
      <x:c r="AB24" s="538"/>
      <x:c r="AC24" s="538"/>
      <x:c r="AD24" s="538"/>
      <x:c r="AE24" s="538"/>
      <x:c r="AF24" s="538"/>
      <x:c r="AG24" s="538"/>
      <x:c r="AH24" s="538"/>
      <x:c r="AI24" s="538"/>
    </x:row>
    <x:row r="25" ht="18" customHeight="1">
      <x:c r="A25" s="538"/>
      <x:c r="B25" s="579"/>
      <x:c r="C25" s="579"/>
      <x:c r="D25" s="579"/>
      <x:c r="E25" s="579"/>
      <x:c r="F25" s="579"/>
      <x:c r="G25" s="538"/>
      <x:c r="H25" s="538"/>
      <x:c r="I25" s="538"/>
      <x:c r="J25" s="538"/>
      <x:c r="K25" s="538"/>
      <x:c r="L25" s="538"/>
      <x:c r="M25" s="538"/>
      <x:c r="N25" s="538"/>
      <x:c r="O25" s="538"/>
      <x:c r="P25" s="538"/>
      <x:c r="Q25" s="538"/>
      <x:c r="R25" s="538"/>
      <x:c r="S25" s="538"/>
      <x:c r="T25" s="538"/>
      <x:c r="U25" s="538"/>
      <x:c r="V25" s="538"/>
      <x:c r="W25" s="538"/>
      <x:c r="X25" s="538"/>
      <x:c r="Y25" s="538"/>
      <x:c r="Z25" s="538"/>
      <x:c r="AA25" s="538"/>
      <x:c r="AB25" s="538"/>
      <x:c r="AC25" s="538"/>
      <x:c r="AD25" s="538"/>
      <x:c r="AE25" s="538"/>
      <x:c r="AF25" s="538"/>
      <x:c r="AG25" s="538"/>
      <x:c r="AH25" s="538"/>
      <x:c r="AI25" s="538"/>
    </x:row>
    <x:row r="26" ht="18" customHeight="1">
      <x:c r="A26" s="652" t="str">
        <x:v>FOOTBALL FIELD — IMPLIED COGNEX EQUITY VALUE PER SHARE</x:v>
      </x:c>
      <x:c r="B26" s="689"/>
      <x:c r="C26" s="689"/>
      <x:c r="D26" s="689"/>
      <x:c r="E26" s="689"/>
      <x:c r="F26" s="689"/>
      <x:c r="G26" s="652"/>
      <x:c r="H26" s="652"/>
      <x:c r="I26" s="652"/>
      <x:c r="J26" s="652"/>
      <x:c r="K26" s="652"/>
      <x:c r="L26" s="652"/>
      <x:c r="M26" s="652"/>
      <x:c r="N26" s="652"/>
      <x:c r="O26" s="652"/>
      <x:c r="P26" s="652"/>
      <x:c r="Q26" s="652"/>
      <x:c r="R26" s="652"/>
      <x:c r="S26" s="652"/>
      <x:c r="T26" s="652"/>
      <x:c r="U26" s="652"/>
      <x:c r="V26" s="652"/>
      <x:c r="W26" s="652"/>
      <x:c r="X26" s="652"/>
      <x:c r="Y26" s="652"/>
      <x:c r="Z26" s="652"/>
      <x:c r="AA26" s="652"/>
      <x:c r="AB26" s="652"/>
      <x:c r="AC26" s="652"/>
      <x:c r="AD26" s="652"/>
      <x:c r="AE26" s="652"/>
      <x:c r="AF26" s="652"/>
      <x:c r="AG26" s="652"/>
      <x:c r="AH26" s="652"/>
      <x:c r="AI26" s="652"/>
    </x:row>
    <x:row r="27" ht="18" customHeight="1">
      <x:c r="A27" s="668" t="str">
        <x:v>Scale minimum</x:v>
      </x:c>
      <x:c r="B27" s="695" t="n">
        <x:v>20</x:v>
      </x:c>
      <x:c r="C27" s="695" t="str">
        <x:v>Scale increment</x:v>
      </x:c>
      <x:c r="D27" s="695" t="n">
        <x:v>2.5</x:v>
      </x:c>
      <x:c r="E27" s="696" t="str">
        <x:v>Scale maximum</x:v>
      </x:c>
      <x:c r="F27" s="696" t="n">
        <x:f>B27+D27*28</x:f>
        <x:v>90</x:v>
      </x:c>
      <x:c r="G27" s="538"/>
      <x:c r="H27" s="538"/>
      <x:c r="I27" s="538"/>
      <x:c r="J27" s="538"/>
      <x:c r="K27" s="538"/>
      <x:c r="L27" s="538"/>
      <x:c r="M27" s="538"/>
      <x:c r="N27" s="538"/>
      <x:c r="O27" s="538"/>
      <x:c r="P27" s="538"/>
      <x:c r="Q27" s="538"/>
      <x:c r="R27" s="538"/>
      <x:c r="S27" s="538"/>
      <x:c r="T27" s="538"/>
      <x:c r="U27" s="538"/>
      <x:c r="V27" s="538"/>
      <x:c r="W27" s="538"/>
      <x:c r="X27" s="538"/>
      <x:c r="Y27" s="538"/>
      <x:c r="Z27" s="538"/>
      <x:c r="AA27" s="538"/>
      <x:c r="AB27" s="538"/>
      <x:c r="AC27" s="538"/>
      <x:c r="AD27" s="538"/>
      <x:c r="AE27" s="538"/>
      <x:c r="AF27" s="538"/>
      <x:c r="AG27" s="538"/>
      <x:c r="AH27" s="538"/>
      <x:c r="AI27" s="538"/>
    </x:row>
    <x:row r="28" ht="18" customHeight="1">
      <x:c r="A28" s="671" t="str">
        <x:v>Method / exact range</x:v>
      </x:c>
      <x:c r="B28" s="697"/>
      <x:c r="C28" s="697"/>
      <x:c r="D28" s="697"/>
      <x:c r="E28" s="697"/>
      <x:c r="F28" s="697"/>
      <x:c r="G28" s="672" t="n">
        <x:f>$B$27</x:f>
        <x:v>20</x:v>
      </x:c>
      <x:c r="H28" s="672" t="n">
        <x:f>G28+$D$27</x:f>
        <x:v>22.5</x:v>
      </x:c>
      <x:c r="I28" s="672" t="n">
        <x:f>H28+$D$27</x:f>
        <x:v>25</x:v>
      </x:c>
      <x:c r="J28" s="672" t="n">
        <x:f>I28+$D$27</x:f>
        <x:v>27.5</x:v>
      </x:c>
      <x:c r="K28" s="672" t="n">
        <x:f>J28+$D$27</x:f>
        <x:v>30</x:v>
      </x:c>
      <x:c r="L28" s="672" t="n">
        <x:f>K28+$D$27</x:f>
        <x:v>32.5</x:v>
      </x:c>
      <x:c r="M28" s="672" t="n">
        <x:f>L28+$D$27</x:f>
        <x:v>35</x:v>
      </x:c>
      <x:c r="N28" s="672" t="n">
        <x:f>M28+$D$27</x:f>
        <x:v>37.5</x:v>
      </x:c>
      <x:c r="O28" s="672" t="n">
        <x:f>N28+$D$27</x:f>
        <x:v>40</x:v>
      </x:c>
      <x:c r="P28" s="672" t="n">
        <x:f>O28+$D$27</x:f>
        <x:v>42.5</x:v>
      </x:c>
      <x:c r="Q28" s="672" t="n">
        <x:f>P28+$D$27</x:f>
        <x:v>45</x:v>
      </x:c>
      <x:c r="R28" s="672" t="n">
        <x:f>Q28+$D$27</x:f>
        <x:v>47.5</x:v>
      </x:c>
      <x:c r="S28" s="672" t="n">
        <x:f>R28+$D$27</x:f>
        <x:v>50</x:v>
      </x:c>
      <x:c r="T28" s="672" t="n">
        <x:f>S28+$D$27</x:f>
        <x:v>52.5</x:v>
      </x:c>
      <x:c r="U28" s="672" t="n">
        <x:f>T28+$D$27</x:f>
        <x:v>55</x:v>
      </x:c>
      <x:c r="V28" s="672" t="n">
        <x:f>U28+$D$27</x:f>
        <x:v>57.5</x:v>
      </x:c>
      <x:c r="W28" s="672" t="n">
        <x:f>V28+$D$27</x:f>
        <x:v>60</x:v>
      </x:c>
      <x:c r="X28" s="672" t="n">
        <x:f>W28+$D$27</x:f>
        <x:v>62.5</x:v>
      </x:c>
      <x:c r="Y28" s="672" t="n">
        <x:f>X28+$D$27</x:f>
        <x:v>65</x:v>
      </x:c>
      <x:c r="Z28" s="672" t="n">
        <x:f>Y28+$D$27</x:f>
        <x:v>67.5</x:v>
      </x:c>
      <x:c r="AA28" s="672" t="n">
        <x:f>Z28+$D$27</x:f>
        <x:v>70</x:v>
      </x:c>
      <x:c r="AB28" s="672" t="n">
        <x:f>AA28+$D$27</x:f>
        <x:v>72.5</x:v>
      </x:c>
      <x:c r="AC28" s="672" t="n">
        <x:f>AB28+$D$27</x:f>
        <x:v>75</x:v>
      </x:c>
      <x:c r="AD28" s="672" t="n">
        <x:f>AC28+$D$27</x:f>
        <x:v>77.5</x:v>
      </x:c>
      <x:c r="AE28" s="672" t="n">
        <x:f>AD28+$D$27</x:f>
        <x:v>80</x:v>
      </x:c>
      <x:c r="AF28" s="672" t="n">
        <x:f>AE28+$D$27</x:f>
        <x:v>82.5</x:v>
      </x:c>
      <x:c r="AG28" s="672" t="n">
        <x:f>AF28+$D$27</x:f>
        <x:v>85</x:v>
      </x:c>
      <x:c r="AH28" s="672" t="n">
        <x:f>AG28+$D$27</x:f>
        <x:v>87.5</x:v>
      </x:c>
      <x:c r="AI28" s="672" t="n">
        <x:f>AH28+$D$27</x:f>
        <x:v>90</x:v>
      </x:c>
    </x:row>
    <x:row r="29" ht="18" customHeight="1">
      <x:c r="A29" s="673" t="str">
        <x:f>A14</x:f>
        <x:v>DCF</x:v>
      </x:c>
      <x:c r="B29" s="698"/>
      <x:c r="C29" s="698"/>
      <x:c r="D29" s="699" t="n">
        <x:f>B14</x:f>
        <x:v>22.952969785087355</x:v>
      </x:c>
      <x:c r="E29" s="699" t="n">
        <x:f>C14</x:f>
        <x:v>25.791148957127746</x:v>
      </x:c>
      <x:c r="F29" s="699" t="n">
        <x:f>D14</x:f>
        <x:v>29.773560899538765</x:v>
      </x:c>
      <x:c r="G29" s="675" t="str">
        <x:f>IF(IF($D29=$F29,ABS(G$28-$E29)&lt;=$D$27/2,AND(G$28&gt;=$D29,G$28&lt;=$F29)),1,"")</x:f>
      </x:c>
      <x:c r="H29" s="675" t="str">
        <x:f>IF(IF($D29=$F29,ABS(H$28-$E29)&lt;=$D$27/2,AND(H$28&gt;=$D29,H$28&lt;=$F29)),1,"")</x:f>
      </x:c>
      <x:c r="I29" s="675" t="n">
        <x:f>IF(IF($D29=$F29,ABS(I$28-$E29)&lt;=$D$27/2,AND(I$28&gt;=$D29,I$28&lt;=$F29)),1,"")</x:f>
        <x:v>1</x:v>
      </x:c>
      <x:c r="J29" s="675" t="n">
        <x:f>IF(IF($D29=$F29,ABS(J$28-$E29)&lt;=$D$27/2,AND(J$28&gt;=$D29,J$28&lt;=$F29)),1,"")</x:f>
        <x:v>1</x:v>
      </x:c>
      <x:c r="K29" s="675" t="str">
        <x:f>IF(IF($D29=$F29,ABS(K$28-$E29)&lt;=$D$27/2,AND(K$28&gt;=$D29,K$28&lt;=$F29)),1,"")</x:f>
      </x:c>
      <x:c r="L29" s="675" t="str">
        <x:f>IF(IF($D29=$F29,ABS(L$28-$E29)&lt;=$D$27/2,AND(L$28&gt;=$D29,L$28&lt;=$F29)),1,"")</x:f>
      </x:c>
      <x:c r="M29" s="675" t="str">
        <x:f>IF(IF($D29=$F29,ABS(M$28-$E29)&lt;=$D$27/2,AND(M$28&gt;=$D29,M$28&lt;=$F29)),1,"")</x:f>
      </x:c>
      <x:c r="N29" s="675" t="str">
        <x:f>IF(IF($D29=$F29,ABS(N$28-$E29)&lt;=$D$27/2,AND(N$28&gt;=$D29,N$28&lt;=$F29)),1,"")</x:f>
      </x:c>
      <x:c r="O29" s="675" t="str">
        <x:f>IF(IF($D29=$F29,ABS(O$28-$E29)&lt;=$D$27/2,AND(O$28&gt;=$D29,O$28&lt;=$F29)),1,"")</x:f>
      </x:c>
      <x:c r="P29" s="675" t="str">
        <x:f>IF(IF($D29=$F29,ABS(P$28-$E29)&lt;=$D$27/2,AND(P$28&gt;=$D29,P$28&lt;=$F29)),1,"")</x:f>
      </x:c>
      <x:c r="Q29" s="675" t="str">
        <x:f>IF(IF($D29=$F29,ABS(Q$28-$E29)&lt;=$D$27/2,AND(Q$28&gt;=$D29,Q$28&lt;=$F29)),1,"")</x:f>
      </x:c>
      <x:c r="R29" s="675" t="str">
        <x:f>IF(IF($D29=$F29,ABS(R$28-$E29)&lt;=$D$27/2,AND(R$28&gt;=$D29,R$28&lt;=$F29)),1,"")</x:f>
      </x:c>
      <x:c r="S29" s="675" t="str">
        <x:f>IF(IF($D29=$F29,ABS(S$28-$E29)&lt;=$D$27/2,AND(S$28&gt;=$D29,S$28&lt;=$F29)),1,"")</x:f>
      </x:c>
      <x:c r="T29" s="675" t="str">
        <x:f>IF(IF($D29=$F29,ABS(T$28-$E29)&lt;=$D$27/2,AND(T$28&gt;=$D29,T$28&lt;=$F29)),1,"")</x:f>
      </x:c>
      <x:c r="U29" s="675" t="str">
        <x:f>IF(IF($D29=$F29,ABS(U$28-$E29)&lt;=$D$27/2,AND(U$28&gt;=$D29,U$28&lt;=$F29)),1,"")</x:f>
      </x:c>
      <x:c r="V29" s="675" t="str">
        <x:f>IF(IF($D29=$F29,ABS(V$28-$E29)&lt;=$D$27/2,AND(V$28&gt;=$D29,V$28&lt;=$F29)),1,"")</x:f>
      </x:c>
      <x:c r="W29" s="675" t="str">
        <x:f>IF(IF($D29=$F29,ABS(W$28-$E29)&lt;=$D$27/2,AND(W$28&gt;=$D29,W$28&lt;=$F29)),1,"")</x:f>
      </x:c>
      <x:c r="X29" s="675" t="str">
        <x:f>IF(IF($D29=$F29,ABS(X$28-$E29)&lt;=$D$27/2,AND(X$28&gt;=$D29,X$28&lt;=$F29)),1,"")</x:f>
      </x:c>
      <x:c r="Y29" s="675" t="str">
        <x:f>IF(IF($D29=$F29,ABS(Y$28-$E29)&lt;=$D$27/2,AND(Y$28&gt;=$D29,Y$28&lt;=$F29)),1,"")</x:f>
      </x:c>
      <x:c r="Z29" s="675" t="str">
        <x:f>IF(IF($D29=$F29,ABS(Z$28-$E29)&lt;=$D$27/2,AND(Z$28&gt;=$D29,Z$28&lt;=$F29)),1,"")</x:f>
      </x:c>
      <x:c r="AA29" s="675" t="str">
        <x:f>IF(IF($D29=$F29,ABS(AA$28-$E29)&lt;=$D$27/2,AND(AA$28&gt;=$D29,AA$28&lt;=$F29)),1,"")</x:f>
      </x:c>
      <x:c r="AB29" s="675" t="str">
        <x:f>IF(IF($D29=$F29,ABS(AB$28-$E29)&lt;=$D$27/2,AND(AB$28&gt;=$D29,AB$28&lt;=$F29)),1,"")</x:f>
      </x:c>
      <x:c r="AC29" s="675" t="str">
        <x:f>IF(IF($D29=$F29,ABS(AC$28-$E29)&lt;=$D$27/2,AND(AC$28&gt;=$D29,AC$28&lt;=$F29)),1,"")</x:f>
      </x:c>
      <x:c r="AD29" s="675" t="str">
        <x:f>IF(IF($D29=$F29,ABS(AD$28-$E29)&lt;=$D$27/2,AND(AD$28&gt;=$D29,AD$28&lt;=$F29)),1,"")</x:f>
      </x:c>
      <x:c r="AE29" s="675" t="str">
        <x:f>IF(IF($D29=$F29,ABS(AE$28-$E29)&lt;=$D$27/2,AND(AE$28&gt;=$D29,AE$28&lt;=$F29)),1,"")</x:f>
      </x:c>
      <x:c r="AF29" s="675" t="str">
        <x:f>IF(IF($D29=$F29,ABS(AF$28-$E29)&lt;=$D$27/2,AND(AF$28&gt;=$D29,AF$28&lt;=$F29)),1,"")</x:f>
      </x:c>
      <x:c r="AG29" s="675" t="str">
        <x:f>IF(IF($D29=$F29,ABS(AG$28-$E29)&lt;=$D$27/2,AND(AG$28&gt;=$D29,AG$28&lt;=$F29)),1,"")</x:f>
      </x:c>
      <x:c r="AH29" s="675" t="str">
        <x:f>IF(IF($D29=$F29,ABS(AH$28-$E29)&lt;=$D$27/2,AND(AH$28&gt;=$D29,AH$28&lt;=$F29)),1,"")</x:f>
      </x:c>
      <x:c r="AI29" s="675" t="str">
        <x:f>IF(IF($D29=$F29,ABS(AI$28-$E29)&lt;=$D$27/2,AND(AI$28&gt;=$D29,AI$28&lt;=$F29)),1,"")</x:f>
      </x:c>
    </x:row>
    <x:row r="30" ht="18" customHeight="1">
      <x:c r="A30" s="673" t="str">
        <x:f>A15</x:f>
        <x:v>Trading — EV / Revenue</x:v>
      </x:c>
      <x:c r="B30" s="698"/>
      <x:c r="C30" s="698"/>
      <x:c r="D30" s="699" t="n">
        <x:f>B15</x:f>
        <x:v>34.7460112706867</x:v>
      </x:c>
      <x:c r="E30" s="699" t="n">
        <x:f>C15</x:f>
        <x:v>39.79463691268784</x:v>
      </x:c>
      <x:c r="F30" s="699" t="n">
        <x:f>D15</x:f>
        <x:v>50.94227339737494</x:v>
      </x:c>
      <x:c r="G30" s="675" t="str">
        <x:f>IF(IF($D30=$F30,ABS(G$28-$E30)&lt;=$D$27/2,AND(G$28&gt;=$D30,G$28&lt;=$F30)),1,"")</x:f>
      </x:c>
      <x:c r="H30" s="675" t="str">
        <x:f>IF(IF($D30=$F30,ABS(H$28-$E30)&lt;=$D$27/2,AND(H$28&gt;=$D30,H$28&lt;=$F30)),1,"")</x:f>
      </x:c>
      <x:c r="I30" s="675" t="str">
        <x:f>IF(IF($D30=$F30,ABS(I$28-$E30)&lt;=$D$27/2,AND(I$28&gt;=$D30,I$28&lt;=$F30)),1,"")</x:f>
      </x:c>
      <x:c r="J30" s="675" t="str">
        <x:f>IF(IF($D30=$F30,ABS(J$28-$E30)&lt;=$D$27/2,AND(J$28&gt;=$D30,J$28&lt;=$F30)),1,"")</x:f>
      </x:c>
      <x:c r="K30" s="675" t="str">
        <x:f>IF(IF($D30=$F30,ABS(K$28-$E30)&lt;=$D$27/2,AND(K$28&gt;=$D30,K$28&lt;=$F30)),1,"")</x:f>
      </x:c>
      <x:c r="L30" s="675" t="str">
        <x:f>IF(IF($D30=$F30,ABS(L$28-$E30)&lt;=$D$27/2,AND(L$28&gt;=$D30,L$28&lt;=$F30)),1,"")</x:f>
      </x:c>
      <x:c r="M30" s="675" t="n">
        <x:f>IF(IF($D30=$F30,ABS(M$28-$E30)&lt;=$D$27/2,AND(M$28&gt;=$D30,M$28&lt;=$F30)),1,"")</x:f>
        <x:v>1</x:v>
      </x:c>
      <x:c r="N30" s="675" t="n">
        <x:f>IF(IF($D30=$F30,ABS(N$28-$E30)&lt;=$D$27/2,AND(N$28&gt;=$D30,N$28&lt;=$F30)),1,"")</x:f>
        <x:v>1</x:v>
      </x:c>
      <x:c r="O30" s="675" t="n">
        <x:f>IF(IF($D30=$F30,ABS(O$28-$E30)&lt;=$D$27/2,AND(O$28&gt;=$D30,O$28&lt;=$F30)),1,"")</x:f>
        <x:v>1</x:v>
      </x:c>
      <x:c r="P30" s="675" t="n">
        <x:f>IF(IF($D30=$F30,ABS(P$28-$E30)&lt;=$D$27/2,AND(P$28&gt;=$D30,P$28&lt;=$F30)),1,"")</x:f>
        <x:v>1</x:v>
      </x:c>
      <x:c r="Q30" s="675" t="n">
        <x:f>IF(IF($D30=$F30,ABS(Q$28-$E30)&lt;=$D$27/2,AND(Q$28&gt;=$D30,Q$28&lt;=$F30)),1,"")</x:f>
        <x:v>1</x:v>
      </x:c>
      <x:c r="R30" s="675" t="n">
        <x:f>IF(IF($D30=$F30,ABS(R$28-$E30)&lt;=$D$27/2,AND(R$28&gt;=$D30,R$28&lt;=$F30)),1,"")</x:f>
        <x:v>1</x:v>
      </x:c>
      <x:c r="S30" s="675" t="n">
        <x:f>IF(IF($D30=$F30,ABS(S$28-$E30)&lt;=$D$27/2,AND(S$28&gt;=$D30,S$28&lt;=$F30)),1,"")</x:f>
        <x:v>1</x:v>
      </x:c>
      <x:c r="T30" s="675" t="str">
        <x:f>IF(IF($D30=$F30,ABS(T$28-$E30)&lt;=$D$27/2,AND(T$28&gt;=$D30,T$28&lt;=$F30)),1,"")</x:f>
      </x:c>
      <x:c r="U30" s="675" t="str">
        <x:f>IF(IF($D30=$F30,ABS(U$28-$E30)&lt;=$D$27/2,AND(U$28&gt;=$D30,U$28&lt;=$F30)),1,"")</x:f>
      </x:c>
      <x:c r="V30" s="675" t="str">
        <x:f>IF(IF($D30=$F30,ABS(V$28-$E30)&lt;=$D$27/2,AND(V$28&gt;=$D30,V$28&lt;=$F30)),1,"")</x:f>
      </x:c>
      <x:c r="W30" s="675" t="str">
        <x:f>IF(IF($D30=$F30,ABS(W$28-$E30)&lt;=$D$27/2,AND(W$28&gt;=$D30,W$28&lt;=$F30)),1,"")</x:f>
      </x:c>
      <x:c r="X30" s="675" t="str">
        <x:f>IF(IF($D30=$F30,ABS(X$28-$E30)&lt;=$D$27/2,AND(X$28&gt;=$D30,X$28&lt;=$F30)),1,"")</x:f>
      </x:c>
      <x:c r="Y30" s="675" t="str">
        <x:f>IF(IF($D30=$F30,ABS(Y$28-$E30)&lt;=$D$27/2,AND(Y$28&gt;=$D30,Y$28&lt;=$F30)),1,"")</x:f>
      </x:c>
      <x:c r="Z30" s="675" t="str">
        <x:f>IF(IF($D30=$F30,ABS(Z$28-$E30)&lt;=$D$27/2,AND(Z$28&gt;=$D30,Z$28&lt;=$F30)),1,"")</x:f>
      </x:c>
      <x:c r="AA30" s="675" t="str">
        <x:f>IF(IF($D30=$F30,ABS(AA$28-$E30)&lt;=$D$27/2,AND(AA$28&gt;=$D30,AA$28&lt;=$F30)),1,"")</x:f>
      </x:c>
      <x:c r="AB30" s="675" t="str">
        <x:f>IF(IF($D30=$F30,ABS(AB$28-$E30)&lt;=$D$27/2,AND(AB$28&gt;=$D30,AB$28&lt;=$F30)),1,"")</x:f>
      </x:c>
      <x:c r="AC30" s="675" t="str">
        <x:f>IF(IF($D30=$F30,ABS(AC$28-$E30)&lt;=$D$27/2,AND(AC$28&gt;=$D30,AC$28&lt;=$F30)),1,"")</x:f>
      </x:c>
      <x:c r="AD30" s="675" t="str">
        <x:f>IF(IF($D30=$F30,ABS(AD$28-$E30)&lt;=$D$27/2,AND(AD$28&gt;=$D30,AD$28&lt;=$F30)),1,"")</x:f>
      </x:c>
      <x:c r="AE30" s="675" t="str">
        <x:f>IF(IF($D30=$F30,ABS(AE$28-$E30)&lt;=$D$27/2,AND(AE$28&gt;=$D30,AE$28&lt;=$F30)),1,"")</x:f>
      </x:c>
      <x:c r="AF30" s="675" t="str">
        <x:f>IF(IF($D30=$F30,ABS(AF$28-$E30)&lt;=$D$27/2,AND(AF$28&gt;=$D30,AF$28&lt;=$F30)),1,"")</x:f>
      </x:c>
      <x:c r="AG30" s="675" t="str">
        <x:f>IF(IF($D30=$F30,ABS(AG$28-$E30)&lt;=$D$27/2,AND(AG$28&gt;=$D30,AG$28&lt;=$F30)),1,"")</x:f>
      </x:c>
      <x:c r="AH30" s="675" t="str">
        <x:f>IF(IF($D30=$F30,ABS(AH$28-$E30)&lt;=$D$27/2,AND(AH$28&gt;=$D30,AH$28&lt;=$F30)),1,"")</x:f>
      </x:c>
      <x:c r="AI30" s="675" t="str">
        <x:f>IF(IF($D30=$F30,ABS(AI$28-$E30)&lt;=$D$27/2,AND(AI$28&gt;=$D30,AI$28&lt;=$F30)),1,"")</x:f>
      </x:c>
    </x:row>
    <x:row r="31" ht="18" customHeight="1">
      <x:c r="A31" s="673" t="str">
        <x:f>A16</x:f>
        <x:v>Trading — EV / EBITDA</x:v>
      </x:c>
      <x:c r="B31" s="698"/>
      <x:c r="C31" s="698"/>
      <x:c r="D31" s="699" t="n">
        <x:f>B16</x:f>
        <x:v>39.20896245482214</x:v>
      </x:c>
      <x:c r="E31" s="699" t="n">
        <x:f>C16</x:f>
        <x:v>43.144349201065246</x:v>
      </x:c>
      <x:c r="F31" s="699" t="n">
        <x:f>D16</x:f>
        <x:v>51.36886532242725</x:v>
      </x:c>
      <x:c r="G31" s="675" t="str">
        <x:f>IF(IF($D31=$F31,ABS(G$28-$E31)&lt;=$D$27/2,AND(G$28&gt;=$D31,G$28&lt;=$F31)),1,"")</x:f>
      </x:c>
      <x:c r="H31" s="675" t="str">
        <x:f>IF(IF($D31=$F31,ABS(H$28-$E31)&lt;=$D$27/2,AND(H$28&gt;=$D31,H$28&lt;=$F31)),1,"")</x:f>
      </x:c>
      <x:c r="I31" s="675" t="str">
        <x:f>IF(IF($D31=$F31,ABS(I$28-$E31)&lt;=$D$27/2,AND(I$28&gt;=$D31,I$28&lt;=$F31)),1,"")</x:f>
      </x:c>
      <x:c r="J31" s="675" t="str">
        <x:f>IF(IF($D31=$F31,ABS(J$28-$E31)&lt;=$D$27/2,AND(J$28&gt;=$D31,J$28&lt;=$F31)),1,"")</x:f>
      </x:c>
      <x:c r="K31" s="675" t="str">
        <x:f>IF(IF($D31=$F31,ABS(K$28-$E31)&lt;=$D$27/2,AND(K$28&gt;=$D31,K$28&lt;=$F31)),1,"")</x:f>
      </x:c>
      <x:c r="L31" s="675" t="str">
        <x:f>IF(IF($D31=$F31,ABS(L$28-$E31)&lt;=$D$27/2,AND(L$28&gt;=$D31,L$28&lt;=$F31)),1,"")</x:f>
      </x:c>
      <x:c r="M31" s="675" t="str">
        <x:f>IF(IF($D31=$F31,ABS(M$28-$E31)&lt;=$D$27/2,AND(M$28&gt;=$D31,M$28&lt;=$F31)),1,"")</x:f>
      </x:c>
      <x:c r="N31" s="675" t="str">
        <x:f>IF(IF($D31=$F31,ABS(N$28-$E31)&lt;=$D$27/2,AND(N$28&gt;=$D31,N$28&lt;=$F31)),1,"")</x:f>
      </x:c>
      <x:c r="O31" s="675" t="n">
        <x:f>IF(IF($D31=$F31,ABS(O$28-$E31)&lt;=$D$27/2,AND(O$28&gt;=$D31,O$28&lt;=$F31)),1,"")</x:f>
        <x:v>1</x:v>
      </x:c>
      <x:c r="P31" s="675" t="n">
        <x:f>IF(IF($D31=$F31,ABS(P$28-$E31)&lt;=$D$27/2,AND(P$28&gt;=$D31,P$28&lt;=$F31)),1,"")</x:f>
        <x:v>1</x:v>
      </x:c>
      <x:c r="Q31" s="675" t="n">
        <x:f>IF(IF($D31=$F31,ABS(Q$28-$E31)&lt;=$D$27/2,AND(Q$28&gt;=$D31,Q$28&lt;=$F31)),1,"")</x:f>
        <x:v>1</x:v>
      </x:c>
      <x:c r="R31" s="675" t="n">
        <x:f>IF(IF($D31=$F31,ABS(R$28-$E31)&lt;=$D$27/2,AND(R$28&gt;=$D31,R$28&lt;=$F31)),1,"")</x:f>
        <x:v>1</x:v>
      </x:c>
      <x:c r="S31" s="675" t="n">
        <x:f>IF(IF($D31=$F31,ABS(S$28-$E31)&lt;=$D$27/2,AND(S$28&gt;=$D31,S$28&lt;=$F31)),1,"")</x:f>
        <x:v>1</x:v>
      </x:c>
      <x:c r="T31" s="675" t="str">
        <x:f>IF(IF($D31=$F31,ABS(T$28-$E31)&lt;=$D$27/2,AND(T$28&gt;=$D31,T$28&lt;=$F31)),1,"")</x:f>
      </x:c>
      <x:c r="U31" s="675" t="str">
        <x:f>IF(IF($D31=$F31,ABS(U$28-$E31)&lt;=$D$27/2,AND(U$28&gt;=$D31,U$28&lt;=$F31)),1,"")</x:f>
      </x:c>
      <x:c r="V31" s="675" t="str">
        <x:f>IF(IF($D31=$F31,ABS(V$28-$E31)&lt;=$D$27/2,AND(V$28&gt;=$D31,V$28&lt;=$F31)),1,"")</x:f>
      </x:c>
      <x:c r="W31" s="675" t="str">
        <x:f>IF(IF($D31=$F31,ABS(W$28-$E31)&lt;=$D$27/2,AND(W$28&gt;=$D31,W$28&lt;=$F31)),1,"")</x:f>
      </x:c>
      <x:c r="X31" s="675" t="str">
        <x:f>IF(IF($D31=$F31,ABS(X$28-$E31)&lt;=$D$27/2,AND(X$28&gt;=$D31,X$28&lt;=$F31)),1,"")</x:f>
      </x:c>
      <x:c r="Y31" s="675" t="str">
        <x:f>IF(IF($D31=$F31,ABS(Y$28-$E31)&lt;=$D$27/2,AND(Y$28&gt;=$D31,Y$28&lt;=$F31)),1,"")</x:f>
      </x:c>
      <x:c r="Z31" s="675" t="str">
        <x:f>IF(IF($D31=$F31,ABS(Z$28-$E31)&lt;=$D$27/2,AND(Z$28&gt;=$D31,Z$28&lt;=$F31)),1,"")</x:f>
      </x:c>
      <x:c r="AA31" s="675" t="str">
        <x:f>IF(IF($D31=$F31,ABS(AA$28-$E31)&lt;=$D$27/2,AND(AA$28&gt;=$D31,AA$28&lt;=$F31)),1,"")</x:f>
      </x:c>
      <x:c r="AB31" s="675" t="str">
        <x:f>IF(IF($D31=$F31,ABS(AB$28-$E31)&lt;=$D$27/2,AND(AB$28&gt;=$D31,AB$28&lt;=$F31)),1,"")</x:f>
      </x:c>
      <x:c r="AC31" s="675" t="str">
        <x:f>IF(IF($D31=$F31,ABS(AC$28-$E31)&lt;=$D$27/2,AND(AC$28&gt;=$D31,AC$28&lt;=$F31)),1,"")</x:f>
      </x:c>
      <x:c r="AD31" s="675" t="str">
        <x:f>IF(IF($D31=$F31,ABS(AD$28-$E31)&lt;=$D$27/2,AND(AD$28&gt;=$D31,AD$28&lt;=$F31)),1,"")</x:f>
      </x:c>
      <x:c r="AE31" s="675" t="str">
        <x:f>IF(IF($D31=$F31,ABS(AE$28-$E31)&lt;=$D$27/2,AND(AE$28&gt;=$D31,AE$28&lt;=$F31)),1,"")</x:f>
      </x:c>
      <x:c r="AF31" s="675" t="str">
        <x:f>IF(IF($D31=$F31,ABS(AF$28-$E31)&lt;=$D$27/2,AND(AF$28&gt;=$D31,AF$28&lt;=$F31)),1,"")</x:f>
      </x:c>
      <x:c r="AG31" s="675" t="str">
        <x:f>IF(IF($D31=$F31,ABS(AG$28-$E31)&lt;=$D$27/2,AND(AG$28&gt;=$D31,AG$28&lt;=$F31)),1,"")</x:f>
      </x:c>
      <x:c r="AH31" s="675" t="str">
        <x:f>IF(IF($D31=$F31,ABS(AH$28-$E31)&lt;=$D$27/2,AND(AH$28&gt;=$D31,AH$28&lt;=$F31)),1,"")</x:f>
      </x:c>
      <x:c r="AI31" s="675" t="str">
        <x:f>IF(IF($D31=$F31,ABS(AI$28-$E31)&lt;=$D$27/2,AND(AI$28&gt;=$D31,AI$28&lt;=$F31)),1,"")</x:f>
      </x:c>
    </x:row>
    <x:row r="32" ht="18" customHeight="1">
      <x:c r="A32" s="673" t="str">
        <x:f>A17</x:f>
        <x:v>Trading — EV / EBIT</x:v>
      </x:c>
      <x:c r="B32" s="698"/>
      <x:c r="C32" s="698"/>
      <x:c r="D32" s="699" t="n">
        <x:f>B17</x:f>
        <x:v>46.95080963477268</x:v>
      </x:c>
      <x:c r="E32" s="699" t="n">
        <x:f>C17</x:f>
        <x:v>52.9061548887198</x:v>
      </x:c>
      <x:c r="F32" s="699" t="n">
        <x:f>D17</x:f>
        <x:v>55.328817529008944</x:v>
      </x:c>
      <x:c r="G32" s="675" t="str">
        <x:f>IF(IF($D32=$F32,ABS(G$28-$E32)&lt;=$D$27/2,AND(G$28&gt;=$D32,G$28&lt;=$F32)),1,"")</x:f>
      </x:c>
      <x:c r="H32" s="675" t="str">
        <x:f>IF(IF($D32=$F32,ABS(H$28-$E32)&lt;=$D$27/2,AND(H$28&gt;=$D32,H$28&lt;=$F32)),1,"")</x:f>
      </x:c>
      <x:c r="I32" s="675" t="str">
        <x:f>IF(IF($D32=$F32,ABS(I$28-$E32)&lt;=$D$27/2,AND(I$28&gt;=$D32,I$28&lt;=$F32)),1,"")</x:f>
      </x:c>
      <x:c r="J32" s="675" t="str">
        <x:f>IF(IF($D32=$F32,ABS(J$28-$E32)&lt;=$D$27/2,AND(J$28&gt;=$D32,J$28&lt;=$F32)),1,"")</x:f>
      </x:c>
      <x:c r="K32" s="675" t="str">
        <x:f>IF(IF($D32=$F32,ABS(K$28-$E32)&lt;=$D$27/2,AND(K$28&gt;=$D32,K$28&lt;=$F32)),1,"")</x:f>
      </x:c>
      <x:c r="L32" s="675" t="str">
        <x:f>IF(IF($D32=$F32,ABS(L$28-$E32)&lt;=$D$27/2,AND(L$28&gt;=$D32,L$28&lt;=$F32)),1,"")</x:f>
      </x:c>
      <x:c r="M32" s="675" t="str">
        <x:f>IF(IF($D32=$F32,ABS(M$28-$E32)&lt;=$D$27/2,AND(M$28&gt;=$D32,M$28&lt;=$F32)),1,"")</x:f>
      </x:c>
      <x:c r="N32" s="675" t="str">
        <x:f>IF(IF($D32=$F32,ABS(N$28-$E32)&lt;=$D$27/2,AND(N$28&gt;=$D32,N$28&lt;=$F32)),1,"")</x:f>
      </x:c>
      <x:c r="O32" s="675" t="str">
        <x:f>IF(IF($D32=$F32,ABS(O$28-$E32)&lt;=$D$27/2,AND(O$28&gt;=$D32,O$28&lt;=$F32)),1,"")</x:f>
      </x:c>
      <x:c r="P32" s="675" t="str">
        <x:f>IF(IF($D32=$F32,ABS(P$28-$E32)&lt;=$D$27/2,AND(P$28&gt;=$D32,P$28&lt;=$F32)),1,"")</x:f>
      </x:c>
      <x:c r="Q32" s="675" t="str">
        <x:f>IF(IF($D32=$F32,ABS(Q$28-$E32)&lt;=$D$27/2,AND(Q$28&gt;=$D32,Q$28&lt;=$F32)),1,"")</x:f>
      </x:c>
      <x:c r="R32" s="675" t="n">
        <x:f>IF(IF($D32=$F32,ABS(R$28-$E32)&lt;=$D$27/2,AND(R$28&gt;=$D32,R$28&lt;=$F32)),1,"")</x:f>
        <x:v>1</x:v>
      </x:c>
      <x:c r="S32" s="675" t="n">
        <x:f>IF(IF($D32=$F32,ABS(S$28-$E32)&lt;=$D$27/2,AND(S$28&gt;=$D32,S$28&lt;=$F32)),1,"")</x:f>
        <x:v>1</x:v>
      </x:c>
      <x:c r="T32" s="675" t="n">
        <x:f>IF(IF($D32=$F32,ABS(T$28-$E32)&lt;=$D$27/2,AND(T$28&gt;=$D32,T$28&lt;=$F32)),1,"")</x:f>
        <x:v>1</x:v>
      </x:c>
      <x:c r="U32" s="675" t="n">
        <x:f>IF(IF($D32=$F32,ABS(U$28-$E32)&lt;=$D$27/2,AND(U$28&gt;=$D32,U$28&lt;=$F32)),1,"")</x:f>
        <x:v>1</x:v>
      </x:c>
      <x:c r="V32" s="675" t="str">
        <x:f>IF(IF($D32=$F32,ABS(V$28-$E32)&lt;=$D$27/2,AND(V$28&gt;=$D32,V$28&lt;=$F32)),1,"")</x:f>
      </x:c>
      <x:c r="W32" s="675" t="str">
        <x:f>IF(IF($D32=$F32,ABS(W$28-$E32)&lt;=$D$27/2,AND(W$28&gt;=$D32,W$28&lt;=$F32)),1,"")</x:f>
      </x:c>
      <x:c r="X32" s="675" t="str">
        <x:f>IF(IF($D32=$F32,ABS(X$28-$E32)&lt;=$D$27/2,AND(X$28&gt;=$D32,X$28&lt;=$F32)),1,"")</x:f>
      </x:c>
      <x:c r="Y32" s="675" t="str">
        <x:f>IF(IF($D32=$F32,ABS(Y$28-$E32)&lt;=$D$27/2,AND(Y$28&gt;=$D32,Y$28&lt;=$F32)),1,"")</x:f>
      </x:c>
      <x:c r="Z32" s="675" t="str">
        <x:f>IF(IF($D32=$F32,ABS(Z$28-$E32)&lt;=$D$27/2,AND(Z$28&gt;=$D32,Z$28&lt;=$F32)),1,"")</x:f>
      </x:c>
      <x:c r="AA32" s="675" t="str">
        <x:f>IF(IF($D32=$F32,ABS(AA$28-$E32)&lt;=$D$27/2,AND(AA$28&gt;=$D32,AA$28&lt;=$F32)),1,"")</x:f>
      </x:c>
      <x:c r="AB32" s="675" t="str">
        <x:f>IF(IF($D32=$F32,ABS(AB$28-$E32)&lt;=$D$27/2,AND(AB$28&gt;=$D32,AB$28&lt;=$F32)),1,"")</x:f>
      </x:c>
      <x:c r="AC32" s="675" t="str">
        <x:f>IF(IF($D32=$F32,ABS(AC$28-$E32)&lt;=$D$27/2,AND(AC$28&gt;=$D32,AC$28&lt;=$F32)),1,"")</x:f>
      </x:c>
      <x:c r="AD32" s="675" t="str">
        <x:f>IF(IF($D32=$F32,ABS(AD$28-$E32)&lt;=$D$27/2,AND(AD$28&gt;=$D32,AD$28&lt;=$F32)),1,"")</x:f>
      </x:c>
      <x:c r="AE32" s="675" t="str">
        <x:f>IF(IF($D32=$F32,ABS(AE$28-$E32)&lt;=$D$27/2,AND(AE$28&gt;=$D32,AE$28&lt;=$F32)),1,"")</x:f>
      </x:c>
      <x:c r="AF32" s="675" t="str">
        <x:f>IF(IF($D32=$F32,ABS(AF$28-$E32)&lt;=$D$27/2,AND(AF$28&gt;=$D32,AF$28&lt;=$F32)),1,"")</x:f>
      </x:c>
      <x:c r="AG32" s="675" t="str">
        <x:f>IF(IF($D32=$F32,ABS(AG$28-$E32)&lt;=$D$27/2,AND(AG$28&gt;=$D32,AG$28&lt;=$F32)),1,"")</x:f>
      </x:c>
      <x:c r="AH32" s="675" t="str">
        <x:f>IF(IF($D32=$F32,ABS(AH$28-$E32)&lt;=$D$27/2,AND(AH$28&gt;=$D32,AH$28&lt;=$F32)),1,"")</x:f>
      </x:c>
      <x:c r="AI32" s="675" t="str">
        <x:f>IF(IF($D32=$F32,ABS(AI$28-$E32)&lt;=$D$27/2,AND(AI$28&gt;=$D32,AI$28&lt;=$F32)),1,"")</x:f>
      </x:c>
    </x:row>
    <x:row r="33" ht="18" customHeight="1">
      <x:c r="A33" s="673" t="str">
        <x:f>A18</x:f>
        <x:v>Trading — P / E</x:v>
      </x:c>
      <x:c r="B33" s="698"/>
      <x:c r="C33" s="698"/>
      <x:c r="D33" s="699" t="n">
        <x:f>B18</x:f>
        <x:v>49.89126177669402</x:v>
      </x:c>
      <x:c r="E33" s="699" t="n">
        <x:f>C18</x:f>
        <x:v>54.28133382929772</x:v>
      </x:c>
      <x:c r="F33" s="699" t="n">
        <x:f>D18</x:f>
        <x:v>58.73871533415601</x:v>
      </x:c>
      <x:c r="G33" s="675" t="str">
        <x:f>IF(IF($D33=$F33,ABS(G$28-$E33)&lt;=$D$27/2,AND(G$28&gt;=$D33,G$28&lt;=$F33)),1,"")</x:f>
      </x:c>
      <x:c r="H33" s="675" t="str">
        <x:f>IF(IF($D33=$F33,ABS(H$28-$E33)&lt;=$D$27/2,AND(H$28&gt;=$D33,H$28&lt;=$F33)),1,"")</x:f>
      </x:c>
      <x:c r="I33" s="675" t="str">
        <x:f>IF(IF($D33=$F33,ABS(I$28-$E33)&lt;=$D$27/2,AND(I$28&gt;=$D33,I$28&lt;=$F33)),1,"")</x:f>
      </x:c>
      <x:c r="J33" s="675" t="str">
        <x:f>IF(IF($D33=$F33,ABS(J$28-$E33)&lt;=$D$27/2,AND(J$28&gt;=$D33,J$28&lt;=$F33)),1,"")</x:f>
      </x:c>
      <x:c r="K33" s="675" t="str">
        <x:f>IF(IF($D33=$F33,ABS(K$28-$E33)&lt;=$D$27/2,AND(K$28&gt;=$D33,K$28&lt;=$F33)),1,"")</x:f>
      </x:c>
      <x:c r="L33" s="675" t="str">
        <x:f>IF(IF($D33=$F33,ABS(L$28-$E33)&lt;=$D$27/2,AND(L$28&gt;=$D33,L$28&lt;=$F33)),1,"")</x:f>
      </x:c>
      <x:c r="M33" s="675" t="str">
        <x:f>IF(IF($D33=$F33,ABS(M$28-$E33)&lt;=$D$27/2,AND(M$28&gt;=$D33,M$28&lt;=$F33)),1,"")</x:f>
      </x:c>
      <x:c r="N33" s="675" t="str">
        <x:f>IF(IF($D33=$F33,ABS(N$28-$E33)&lt;=$D$27/2,AND(N$28&gt;=$D33,N$28&lt;=$F33)),1,"")</x:f>
      </x:c>
      <x:c r="O33" s="675" t="str">
        <x:f>IF(IF($D33=$F33,ABS(O$28-$E33)&lt;=$D$27/2,AND(O$28&gt;=$D33,O$28&lt;=$F33)),1,"")</x:f>
      </x:c>
      <x:c r="P33" s="675" t="str">
        <x:f>IF(IF($D33=$F33,ABS(P$28-$E33)&lt;=$D$27/2,AND(P$28&gt;=$D33,P$28&lt;=$F33)),1,"")</x:f>
      </x:c>
      <x:c r="Q33" s="675" t="str">
        <x:f>IF(IF($D33=$F33,ABS(Q$28-$E33)&lt;=$D$27/2,AND(Q$28&gt;=$D33,Q$28&lt;=$F33)),1,"")</x:f>
      </x:c>
      <x:c r="R33" s="675" t="str">
        <x:f>IF(IF($D33=$F33,ABS(R$28-$E33)&lt;=$D$27/2,AND(R$28&gt;=$D33,R$28&lt;=$F33)),1,"")</x:f>
      </x:c>
      <x:c r="S33" s="675" t="n">
        <x:f>IF(IF($D33=$F33,ABS(S$28-$E33)&lt;=$D$27/2,AND(S$28&gt;=$D33,S$28&lt;=$F33)),1,"")</x:f>
        <x:v>1</x:v>
      </x:c>
      <x:c r="T33" s="675" t="n">
        <x:f>IF(IF($D33=$F33,ABS(T$28-$E33)&lt;=$D$27/2,AND(T$28&gt;=$D33,T$28&lt;=$F33)),1,"")</x:f>
        <x:v>1</x:v>
      </x:c>
      <x:c r="U33" s="675" t="n">
        <x:f>IF(IF($D33=$F33,ABS(U$28-$E33)&lt;=$D$27/2,AND(U$28&gt;=$D33,U$28&lt;=$F33)),1,"")</x:f>
        <x:v>1</x:v>
      </x:c>
      <x:c r="V33" s="675" t="n">
        <x:f>IF(IF($D33=$F33,ABS(V$28-$E33)&lt;=$D$27/2,AND(V$28&gt;=$D33,V$28&lt;=$F33)),1,"")</x:f>
        <x:v>1</x:v>
      </x:c>
      <x:c r="W33" s="675" t="str">
        <x:f>IF(IF($D33=$F33,ABS(W$28-$E33)&lt;=$D$27/2,AND(W$28&gt;=$D33,W$28&lt;=$F33)),1,"")</x:f>
      </x:c>
      <x:c r="X33" s="675" t="str">
        <x:f>IF(IF($D33=$F33,ABS(X$28-$E33)&lt;=$D$27/2,AND(X$28&gt;=$D33,X$28&lt;=$F33)),1,"")</x:f>
      </x:c>
      <x:c r="Y33" s="675" t="str">
        <x:f>IF(IF($D33=$F33,ABS(Y$28-$E33)&lt;=$D$27/2,AND(Y$28&gt;=$D33,Y$28&lt;=$F33)),1,"")</x:f>
      </x:c>
      <x:c r="Z33" s="675" t="str">
        <x:f>IF(IF($D33=$F33,ABS(Z$28-$E33)&lt;=$D$27/2,AND(Z$28&gt;=$D33,Z$28&lt;=$F33)),1,"")</x:f>
      </x:c>
      <x:c r="AA33" s="675" t="str">
        <x:f>IF(IF($D33=$F33,ABS(AA$28-$E33)&lt;=$D$27/2,AND(AA$28&gt;=$D33,AA$28&lt;=$F33)),1,"")</x:f>
      </x:c>
      <x:c r="AB33" s="675" t="str">
        <x:f>IF(IF($D33=$F33,ABS(AB$28-$E33)&lt;=$D$27/2,AND(AB$28&gt;=$D33,AB$28&lt;=$F33)),1,"")</x:f>
      </x:c>
      <x:c r="AC33" s="675" t="str">
        <x:f>IF(IF($D33=$F33,ABS(AC$28-$E33)&lt;=$D$27/2,AND(AC$28&gt;=$D33,AC$28&lt;=$F33)),1,"")</x:f>
      </x:c>
      <x:c r="AD33" s="675" t="str">
        <x:f>IF(IF($D33=$F33,ABS(AD$28-$E33)&lt;=$D$27/2,AND(AD$28&gt;=$D33,AD$28&lt;=$F33)),1,"")</x:f>
      </x:c>
      <x:c r="AE33" s="675" t="str">
        <x:f>IF(IF($D33=$F33,ABS(AE$28-$E33)&lt;=$D$27/2,AND(AE$28&gt;=$D33,AE$28&lt;=$F33)),1,"")</x:f>
      </x:c>
      <x:c r="AF33" s="675" t="str">
        <x:f>IF(IF($D33=$F33,ABS(AF$28-$E33)&lt;=$D$27/2,AND(AF$28&gt;=$D33,AF$28&lt;=$F33)),1,"")</x:f>
      </x:c>
      <x:c r="AG33" s="675" t="str">
        <x:f>IF(IF($D33=$F33,ABS(AG$28-$E33)&lt;=$D$27/2,AND(AG$28&gt;=$D33,AG$28&lt;=$F33)),1,"")</x:f>
      </x:c>
      <x:c r="AH33" s="675" t="str">
        <x:f>IF(IF($D33=$F33,ABS(AH$28-$E33)&lt;=$D$27/2,AND(AH$28&gt;=$D33,AH$28&lt;=$F33)),1,"")</x:f>
      </x:c>
      <x:c r="AI33" s="675" t="str">
        <x:f>IF(IF($D33=$F33,ABS(AI$28-$E33)&lt;=$D$27/2,AND(AI$28&gt;=$D33,AI$28&lt;=$F33)),1,"")</x:f>
      </x:c>
    </x:row>
    <x:row r="34" ht="18" customHeight="1">
      <x:c r="A34" s="673" t="str">
        <x:f>A19</x:f>
        <x:v>Precedent — EV / Revenue</x:v>
      </x:c>
      <x:c r="B34" s="698"/>
      <x:c r="C34" s="698"/>
      <x:c r="D34" s="699" t="n">
        <x:f>B19</x:f>
        <x:v>34.0626126411909</x:v>
      </x:c>
      <x:c r="E34" s="699" t="n">
        <x:f>C19</x:f>
        <x:v>45.32446369026972</x:v>
      </x:c>
      <x:c r="F34" s="699" t="n">
        <x:f>D19</x:f>
        <x:v>52.57395681762598</x:v>
      </x:c>
      <x:c r="G34" s="675" t="str">
        <x:f>IF(IF($D34=$F34,ABS(G$28-$E34)&lt;=$D$27/2,AND(G$28&gt;=$D34,G$28&lt;=$F34)),1,"")</x:f>
      </x:c>
      <x:c r="H34" s="675" t="str">
        <x:f>IF(IF($D34=$F34,ABS(H$28-$E34)&lt;=$D$27/2,AND(H$28&gt;=$D34,H$28&lt;=$F34)),1,"")</x:f>
      </x:c>
      <x:c r="I34" s="675" t="str">
        <x:f>IF(IF($D34=$F34,ABS(I$28-$E34)&lt;=$D$27/2,AND(I$28&gt;=$D34,I$28&lt;=$F34)),1,"")</x:f>
      </x:c>
      <x:c r="J34" s="675" t="str">
        <x:f>IF(IF($D34=$F34,ABS(J$28-$E34)&lt;=$D$27/2,AND(J$28&gt;=$D34,J$28&lt;=$F34)),1,"")</x:f>
      </x:c>
      <x:c r="K34" s="675" t="str">
        <x:f>IF(IF($D34=$F34,ABS(K$28-$E34)&lt;=$D$27/2,AND(K$28&gt;=$D34,K$28&lt;=$F34)),1,"")</x:f>
      </x:c>
      <x:c r="L34" s="675" t="str">
        <x:f>IF(IF($D34=$F34,ABS(L$28-$E34)&lt;=$D$27/2,AND(L$28&gt;=$D34,L$28&lt;=$F34)),1,"")</x:f>
      </x:c>
      <x:c r="M34" s="675" t="n">
        <x:f>IF(IF($D34=$F34,ABS(M$28-$E34)&lt;=$D$27/2,AND(M$28&gt;=$D34,M$28&lt;=$F34)),1,"")</x:f>
        <x:v>1</x:v>
      </x:c>
      <x:c r="N34" s="675" t="n">
        <x:f>IF(IF($D34=$F34,ABS(N$28-$E34)&lt;=$D$27/2,AND(N$28&gt;=$D34,N$28&lt;=$F34)),1,"")</x:f>
        <x:v>1</x:v>
      </x:c>
      <x:c r="O34" s="675" t="n">
        <x:f>IF(IF($D34=$F34,ABS(O$28-$E34)&lt;=$D$27/2,AND(O$28&gt;=$D34,O$28&lt;=$F34)),1,"")</x:f>
        <x:v>1</x:v>
      </x:c>
      <x:c r="P34" s="675" t="n">
        <x:f>IF(IF($D34=$F34,ABS(P$28-$E34)&lt;=$D$27/2,AND(P$28&gt;=$D34,P$28&lt;=$F34)),1,"")</x:f>
        <x:v>1</x:v>
      </x:c>
      <x:c r="Q34" s="675" t="n">
        <x:f>IF(IF($D34=$F34,ABS(Q$28-$E34)&lt;=$D$27/2,AND(Q$28&gt;=$D34,Q$28&lt;=$F34)),1,"")</x:f>
        <x:v>1</x:v>
      </x:c>
      <x:c r="R34" s="675" t="n">
        <x:f>IF(IF($D34=$F34,ABS(R$28-$E34)&lt;=$D$27/2,AND(R$28&gt;=$D34,R$28&lt;=$F34)),1,"")</x:f>
        <x:v>1</x:v>
      </x:c>
      <x:c r="S34" s="675" t="n">
        <x:f>IF(IF($D34=$F34,ABS(S$28-$E34)&lt;=$D$27/2,AND(S$28&gt;=$D34,S$28&lt;=$F34)),1,"")</x:f>
        <x:v>1</x:v>
      </x:c>
      <x:c r="T34" s="675" t="n">
        <x:f>IF(IF($D34=$F34,ABS(T$28-$E34)&lt;=$D$27/2,AND(T$28&gt;=$D34,T$28&lt;=$F34)),1,"")</x:f>
        <x:v>1</x:v>
      </x:c>
      <x:c r="U34" s="675" t="str">
        <x:f>IF(IF($D34=$F34,ABS(U$28-$E34)&lt;=$D$27/2,AND(U$28&gt;=$D34,U$28&lt;=$F34)),1,"")</x:f>
      </x:c>
      <x:c r="V34" s="675" t="str">
        <x:f>IF(IF($D34=$F34,ABS(V$28-$E34)&lt;=$D$27/2,AND(V$28&gt;=$D34,V$28&lt;=$F34)),1,"")</x:f>
      </x:c>
      <x:c r="W34" s="675" t="str">
        <x:f>IF(IF($D34=$F34,ABS(W$28-$E34)&lt;=$D$27/2,AND(W$28&gt;=$D34,W$28&lt;=$F34)),1,"")</x:f>
      </x:c>
      <x:c r="X34" s="675" t="str">
        <x:f>IF(IF($D34=$F34,ABS(X$28-$E34)&lt;=$D$27/2,AND(X$28&gt;=$D34,X$28&lt;=$F34)),1,"")</x:f>
      </x:c>
      <x:c r="Y34" s="675" t="str">
        <x:f>IF(IF($D34=$F34,ABS(Y$28-$E34)&lt;=$D$27/2,AND(Y$28&gt;=$D34,Y$28&lt;=$F34)),1,"")</x:f>
      </x:c>
      <x:c r="Z34" s="675" t="str">
        <x:f>IF(IF($D34=$F34,ABS(Z$28-$E34)&lt;=$D$27/2,AND(Z$28&gt;=$D34,Z$28&lt;=$F34)),1,"")</x:f>
      </x:c>
      <x:c r="AA34" s="675" t="str">
        <x:f>IF(IF($D34=$F34,ABS(AA$28-$E34)&lt;=$D$27/2,AND(AA$28&gt;=$D34,AA$28&lt;=$F34)),1,"")</x:f>
      </x:c>
      <x:c r="AB34" s="675" t="str">
        <x:f>IF(IF($D34=$F34,ABS(AB$28-$E34)&lt;=$D$27/2,AND(AB$28&gt;=$D34,AB$28&lt;=$F34)),1,"")</x:f>
      </x:c>
      <x:c r="AC34" s="675" t="str">
        <x:f>IF(IF($D34=$F34,ABS(AC$28-$E34)&lt;=$D$27/2,AND(AC$28&gt;=$D34,AC$28&lt;=$F34)),1,"")</x:f>
      </x:c>
      <x:c r="AD34" s="675" t="str">
        <x:f>IF(IF($D34=$F34,ABS(AD$28-$E34)&lt;=$D$27/2,AND(AD$28&gt;=$D34,AD$28&lt;=$F34)),1,"")</x:f>
      </x:c>
      <x:c r="AE34" s="675" t="str">
        <x:f>IF(IF($D34=$F34,ABS(AE$28-$E34)&lt;=$D$27/2,AND(AE$28&gt;=$D34,AE$28&lt;=$F34)),1,"")</x:f>
      </x:c>
      <x:c r="AF34" s="675" t="str">
        <x:f>IF(IF($D34=$F34,ABS(AF$28-$E34)&lt;=$D$27/2,AND(AF$28&gt;=$D34,AF$28&lt;=$F34)),1,"")</x:f>
      </x:c>
      <x:c r="AG34" s="675" t="str">
        <x:f>IF(IF($D34=$F34,ABS(AG$28-$E34)&lt;=$D$27/2,AND(AG$28&gt;=$D34,AG$28&lt;=$F34)),1,"")</x:f>
      </x:c>
      <x:c r="AH34" s="675" t="str">
        <x:f>IF(IF($D34=$F34,ABS(AH$28-$E34)&lt;=$D$27/2,AND(AH$28&gt;=$D34,AH$28&lt;=$F34)),1,"")</x:f>
      </x:c>
      <x:c r="AI34" s="675" t="str">
        <x:f>IF(IF($D34=$F34,ABS(AI$28-$E34)&lt;=$D$27/2,AND(AI$28&gt;=$D34,AI$28&lt;=$F34)),1,"")</x:f>
      </x:c>
    </x:row>
    <x:row r="35" ht="18" customHeight="1">
      <x:c r="A35" s="673" t="str">
        <x:f>A20</x:f>
        <x:v>Precedent — EV / EBITDA</x:v>
      </x:c>
      <x:c r="B35" s="698"/>
      <x:c r="C35" s="698"/>
      <x:c r="D35" s="699" t="n">
        <x:f>B20</x:f>
        <x:v>39.08531176777297</x:v>
      </x:c>
      <x:c r="E35" s="699" t="n">
        <x:f>C20</x:f>
        <x:v>40.27345666415471</x:v>
      </x:c>
      <x:c r="F35" s="699" t="n">
        <x:f>D20</x:f>
        <x:v>41.46160156053644</x:v>
      </x:c>
      <x:c r="G35" s="675" t="str">
        <x:f>IF(IF($D35=$F35,ABS(G$28-$E35)&lt;=$D$27/2,AND(G$28&gt;=$D35,G$28&lt;=$F35)),1,"")</x:f>
      </x:c>
      <x:c r="H35" s="675" t="str">
        <x:f>IF(IF($D35=$F35,ABS(H$28-$E35)&lt;=$D$27/2,AND(H$28&gt;=$D35,H$28&lt;=$F35)),1,"")</x:f>
      </x:c>
      <x:c r="I35" s="675" t="str">
        <x:f>IF(IF($D35=$F35,ABS(I$28-$E35)&lt;=$D$27/2,AND(I$28&gt;=$D35,I$28&lt;=$F35)),1,"")</x:f>
      </x:c>
      <x:c r="J35" s="675" t="str">
        <x:f>IF(IF($D35=$F35,ABS(J$28-$E35)&lt;=$D$27/2,AND(J$28&gt;=$D35,J$28&lt;=$F35)),1,"")</x:f>
      </x:c>
      <x:c r="K35" s="675" t="str">
        <x:f>IF(IF($D35=$F35,ABS(K$28-$E35)&lt;=$D$27/2,AND(K$28&gt;=$D35,K$28&lt;=$F35)),1,"")</x:f>
      </x:c>
      <x:c r="L35" s="675" t="str">
        <x:f>IF(IF($D35=$F35,ABS(L$28-$E35)&lt;=$D$27/2,AND(L$28&gt;=$D35,L$28&lt;=$F35)),1,"")</x:f>
      </x:c>
      <x:c r="M35" s="675" t="str">
        <x:f>IF(IF($D35=$F35,ABS(M$28-$E35)&lt;=$D$27/2,AND(M$28&gt;=$D35,M$28&lt;=$F35)),1,"")</x:f>
      </x:c>
      <x:c r="N35" s="675" t="str">
        <x:f>IF(IF($D35=$F35,ABS(N$28-$E35)&lt;=$D$27/2,AND(N$28&gt;=$D35,N$28&lt;=$F35)),1,"")</x:f>
      </x:c>
      <x:c r="O35" s="675" t="n">
        <x:f>IF(IF($D35=$F35,ABS(O$28-$E35)&lt;=$D$27/2,AND(O$28&gt;=$D35,O$28&lt;=$F35)),1,"")</x:f>
        <x:v>1</x:v>
      </x:c>
      <x:c r="P35" s="675" t="str">
        <x:f>IF(IF($D35=$F35,ABS(P$28-$E35)&lt;=$D$27/2,AND(P$28&gt;=$D35,P$28&lt;=$F35)),1,"")</x:f>
      </x:c>
      <x:c r="Q35" s="675" t="str">
        <x:f>IF(IF($D35=$F35,ABS(Q$28-$E35)&lt;=$D$27/2,AND(Q$28&gt;=$D35,Q$28&lt;=$F35)),1,"")</x:f>
      </x:c>
      <x:c r="R35" s="675" t="str">
        <x:f>IF(IF($D35=$F35,ABS(R$28-$E35)&lt;=$D$27/2,AND(R$28&gt;=$D35,R$28&lt;=$F35)),1,"")</x:f>
      </x:c>
      <x:c r="S35" s="675" t="str">
        <x:f>IF(IF($D35=$F35,ABS(S$28-$E35)&lt;=$D$27/2,AND(S$28&gt;=$D35,S$28&lt;=$F35)),1,"")</x:f>
      </x:c>
      <x:c r="T35" s="675" t="str">
        <x:f>IF(IF($D35=$F35,ABS(T$28-$E35)&lt;=$D$27/2,AND(T$28&gt;=$D35,T$28&lt;=$F35)),1,"")</x:f>
      </x:c>
      <x:c r="U35" s="675" t="str">
        <x:f>IF(IF($D35=$F35,ABS(U$28-$E35)&lt;=$D$27/2,AND(U$28&gt;=$D35,U$28&lt;=$F35)),1,"")</x:f>
      </x:c>
      <x:c r="V35" s="675" t="str">
        <x:f>IF(IF($D35=$F35,ABS(V$28-$E35)&lt;=$D$27/2,AND(V$28&gt;=$D35,V$28&lt;=$F35)),1,"")</x:f>
      </x:c>
      <x:c r="W35" s="675" t="str">
        <x:f>IF(IF($D35=$F35,ABS(W$28-$E35)&lt;=$D$27/2,AND(W$28&gt;=$D35,W$28&lt;=$F35)),1,"")</x:f>
      </x:c>
      <x:c r="X35" s="675" t="str">
        <x:f>IF(IF($D35=$F35,ABS(X$28-$E35)&lt;=$D$27/2,AND(X$28&gt;=$D35,X$28&lt;=$F35)),1,"")</x:f>
      </x:c>
      <x:c r="Y35" s="675" t="str">
        <x:f>IF(IF($D35=$F35,ABS(Y$28-$E35)&lt;=$D$27/2,AND(Y$28&gt;=$D35,Y$28&lt;=$F35)),1,"")</x:f>
      </x:c>
      <x:c r="Z35" s="675" t="str">
        <x:f>IF(IF($D35=$F35,ABS(Z$28-$E35)&lt;=$D$27/2,AND(Z$28&gt;=$D35,Z$28&lt;=$F35)),1,"")</x:f>
      </x:c>
      <x:c r="AA35" s="675" t="str">
        <x:f>IF(IF($D35=$F35,ABS(AA$28-$E35)&lt;=$D$27/2,AND(AA$28&gt;=$D35,AA$28&lt;=$F35)),1,"")</x:f>
      </x:c>
      <x:c r="AB35" s="675" t="str">
        <x:f>IF(IF($D35=$F35,ABS(AB$28-$E35)&lt;=$D$27/2,AND(AB$28&gt;=$D35,AB$28&lt;=$F35)),1,"")</x:f>
      </x:c>
      <x:c r="AC35" s="675" t="str">
        <x:f>IF(IF($D35=$F35,ABS(AC$28-$E35)&lt;=$D$27/2,AND(AC$28&gt;=$D35,AC$28&lt;=$F35)),1,"")</x:f>
      </x:c>
      <x:c r="AD35" s="675" t="str">
        <x:f>IF(IF($D35=$F35,ABS(AD$28-$E35)&lt;=$D$27/2,AND(AD$28&gt;=$D35,AD$28&lt;=$F35)),1,"")</x:f>
      </x:c>
      <x:c r="AE35" s="675" t="str">
        <x:f>IF(IF($D35=$F35,ABS(AE$28-$E35)&lt;=$D$27/2,AND(AE$28&gt;=$D35,AE$28&lt;=$F35)),1,"")</x:f>
      </x:c>
      <x:c r="AF35" s="675" t="str">
        <x:f>IF(IF($D35=$F35,ABS(AF$28-$E35)&lt;=$D$27/2,AND(AF$28&gt;=$D35,AF$28&lt;=$F35)),1,"")</x:f>
      </x:c>
      <x:c r="AG35" s="675" t="str">
        <x:f>IF(IF($D35=$F35,ABS(AG$28-$E35)&lt;=$D$27/2,AND(AG$28&gt;=$D35,AG$28&lt;=$F35)),1,"")</x:f>
      </x:c>
      <x:c r="AH35" s="675" t="str">
        <x:f>IF(IF($D35=$F35,ABS(AH$28-$E35)&lt;=$D$27/2,AND(AH$28&gt;=$D35,AH$28&lt;=$F35)),1,"")</x:f>
      </x:c>
      <x:c r="AI35" s="675" t="str">
        <x:f>IF(IF($D35=$F35,ABS(AI$28-$E35)&lt;=$D$27/2,AND(AI$28&gt;=$D35,AI$28&lt;=$F35)),1,"")</x:f>
      </x:c>
    </x:row>
    <x:row r="36" ht="18" customHeight="1">
      <x:c r="A36" s="673" t="str">
        <x:f>A21</x:f>
        <x:v>Precedent — EV / EBIT</x:v>
      </x:c>
      <x:c r="B36" s="698"/>
      <x:c r="C36" s="698"/>
      <x:c r="D36" s="699" t="n">
        <x:f>B21</x:f>
        <x:v>51.98488081157034</x:v>
      </x:c>
      <x:c r="E36" s="699" t="n">
        <x:f>C21</x:f>
        <x:v>55.05026643373155</x:v>
      </x:c>
      <x:c r="F36" s="699" t="n">
        <x:f>D21</x:f>
        <x:v>58.11565205589273</x:v>
      </x:c>
      <x:c r="G36" s="675" t="str">
        <x:f>IF(IF($D36=$F36,ABS(G$28-$E36)&lt;=$D$27/2,AND(G$28&gt;=$D36,G$28&lt;=$F36)),1,"")</x:f>
      </x:c>
      <x:c r="H36" s="675" t="str">
        <x:f>IF(IF($D36=$F36,ABS(H$28-$E36)&lt;=$D$27/2,AND(H$28&gt;=$D36,H$28&lt;=$F36)),1,"")</x:f>
      </x:c>
      <x:c r="I36" s="675" t="str">
        <x:f>IF(IF($D36=$F36,ABS(I$28-$E36)&lt;=$D$27/2,AND(I$28&gt;=$D36,I$28&lt;=$F36)),1,"")</x:f>
      </x:c>
      <x:c r="J36" s="675" t="str">
        <x:f>IF(IF($D36=$F36,ABS(J$28-$E36)&lt;=$D$27/2,AND(J$28&gt;=$D36,J$28&lt;=$F36)),1,"")</x:f>
      </x:c>
      <x:c r="K36" s="675" t="str">
        <x:f>IF(IF($D36=$F36,ABS(K$28-$E36)&lt;=$D$27/2,AND(K$28&gt;=$D36,K$28&lt;=$F36)),1,"")</x:f>
      </x:c>
      <x:c r="L36" s="675" t="str">
        <x:f>IF(IF($D36=$F36,ABS(L$28-$E36)&lt;=$D$27/2,AND(L$28&gt;=$D36,L$28&lt;=$F36)),1,"")</x:f>
      </x:c>
      <x:c r="M36" s="675" t="str">
        <x:f>IF(IF($D36=$F36,ABS(M$28-$E36)&lt;=$D$27/2,AND(M$28&gt;=$D36,M$28&lt;=$F36)),1,"")</x:f>
      </x:c>
      <x:c r="N36" s="675" t="str">
        <x:f>IF(IF($D36=$F36,ABS(N$28-$E36)&lt;=$D$27/2,AND(N$28&gt;=$D36,N$28&lt;=$F36)),1,"")</x:f>
      </x:c>
      <x:c r="O36" s="675" t="str">
        <x:f>IF(IF($D36=$F36,ABS(O$28-$E36)&lt;=$D$27/2,AND(O$28&gt;=$D36,O$28&lt;=$F36)),1,"")</x:f>
      </x:c>
      <x:c r="P36" s="675" t="str">
        <x:f>IF(IF($D36=$F36,ABS(P$28-$E36)&lt;=$D$27/2,AND(P$28&gt;=$D36,P$28&lt;=$F36)),1,"")</x:f>
      </x:c>
      <x:c r="Q36" s="675" t="str">
        <x:f>IF(IF($D36=$F36,ABS(Q$28-$E36)&lt;=$D$27/2,AND(Q$28&gt;=$D36,Q$28&lt;=$F36)),1,"")</x:f>
      </x:c>
      <x:c r="R36" s="675" t="str">
        <x:f>IF(IF($D36=$F36,ABS(R$28-$E36)&lt;=$D$27/2,AND(R$28&gt;=$D36,R$28&lt;=$F36)),1,"")</x:f>
      </x:c>
      <x:c r="S36" s="675" t="str">
        <x:f>IF(IF($D36=$F36,ABS(S$28-$E36)&lt;=$D$27/2,AND(S$28&gt;=$D36,S$28&lt;=$F36)),1,"")</x:f>
      </x:c>
      <x:c r="T36" s="675" t="n">
        <x:f>IF(IF($D36=$F36,ABS(T$28-$E36)&lt;=$D$27/2,AND(T$28&gt;=$D36,T$28&lt;=$F36)),1,"")</x:f>
        <x:v>1</x:v>
      </x:c>
      <x:c r="U36" s="675" t="n">
        <x:f>IF(IF($D36=$F36,ABS(U$28-$E36)&lt;=$D$27/2,AND(U$28&gt;=$D36,U$28&lt;=$F36)),1,"")</x:f>
        <x:v>1</x:v>
      </x:c>
      <x:c r="V36" s="675" t="n">
        <x:f>IF(IF($D36=$F36,ABS(V$28-$E36)&lt;=$D$27/2,AND(V$28&gt;=$D36,V$28&lt;=$F36)),1,"")</x:f>
        <x:v>1</x:v>
      </x:c>
      <x:c r="W36" s="675" t="str">
        <x:f>IF(IF($D36=$F36,ABS(W$28-$E36)&lt;=$D$27/2,AND(W$28&gt;=$D36,W$28&lt;=$F36)),1,"")</x:f>
      </x:c>
      <x:c r="X36" s="675" t="str">
        <x:f>IF(IF($D36=$F36,ABS(X$28-$E36)&lt;=$D$27/2,AND(X$28&gt;=$D36,X$28&lt;=$F36)),1,"")</x:f>
      </x:c>
      <x:c r="Y36" s="675" t="str">
        <x:f>IF(IF($D36=$F36,ABS(Y$28-$E36)&lt;=$D$27/2,AND(Y$28&gt;=$D36,Y$28&lt;=$F36)),1,"")</x:f>
      </x:c>
      <x:c r="Z36" s="675" t="str">
        <x:f>IF(IF($D36=$F36,ABS(Z$28-$E36)&lt;=$D$27/2,AND(Z$28&gt;=$D36,Z$28&lt;=$F36)),1,"")</x:f>
      </x:c>
      <x:c r="AA36" s="675" t="str">
        <x:f>IF(IF($D36=$F36,ABS(AA$28-$E36)&lt;=$D$27/2,AND(AA$28&gt;=$D36,AA$28&lt;=$F36)),1,"")</x:f>
      </x:c>
      <x:c r="AB36" s="675" t="str">
        <x:f>IF(IF($D36=$F36,ABS(AB$28-$E36)&lt;=$D$27/2,AND(AB$28&gt;=$D36,AB$28&lt;=$F36)),1,"")</x:f>
      </x:c>
      <x:c r="AC36" s="675" t="str">
        <x:f>IF(IF($D36=$F36,ABS(AC$28-$E36)&lt;=$D$27/2,AND(AC$28&gt;=$D36,AC$28&lt;=$F36)),1,"")</x:f>
      </x:c>
      <x:c r="AD36" s="675" t="str">
        <x:f>IF(IF($D36=$F36,ABS(AD$28-$E36)&lt;=$D$27/2,AND(AD$28&gt;=$D36,AD$28&lt;=$F36)),1,"")</x:f>
      </x:c>
      <x:c r="AE36" s="675" t="str">
        <x:f>IF(IF($D36=$F36,ABS(AE$28-$E36)&lt;=$D$27/2,AND(AE$28&gt;=$D36,AE$28&lt;=$F36)),1,"")</x:f>
      </x:c>
      <x:c r="AF36" s="675" t="str">
        <x:f>IF(IF($D36=$F36,ABS(AF$28-$E36)&lt;=$D$27/2,AND(AF$28&gt;=$D36,AF$28&lt;=$F36)),1,"")</x:f>
      </x:c>
      <x:c r="AG36" s="675" t="str">
        <x:f>IF(IF($D36=$F36,ABS(AG$28-$E36)&lt;=$D$27/2,AND(AG$28&gt;=$D36,AG$28&lt;=$F36)),1,"")</x:f>
      </x:c>
      <x:c r="AH36" s="675" t="str">
        <x:f>IF(IF($D36=$F36,ABS(AH$28-$E36)&lt;=$D$27/2,AND(AH$28&gt;=$D36,AH$28&lt;=$F36)),1,"")</x:f>
      </x:c>
      <x:c r="AI36" s="675" t="str">
        <x:f>IF(IF($D36=$F36,ABS(AI$28-$E36)&lt;=$D$27/2,AND(AI$28&gt;=$D36,AI$28&lt;=$F36)),1,"")</x:f>
      </x:c>
    </x:row>
    <x:row r="37" ht="18" customHeight="1">
      <x:c r="A37" s="673" t="str">
        <x:f>A22</x:f>
        <x:v>Precedent — Premium Paid</x:v>
      </x:c>
      <x:c r="B37" s="698"/>
      <x:c r="C37" s="698"/>
      <x:c r="D37" s="699" t="n">
        <x:f>B22</x:f>
        <x:v>80.48617499999999</x:v>
      </x:c>
      <x:c r="E37" s="699" t="n">
        <x:f>C22</x:f>
        <x:v>84.51795</x:v>
      </x:c>
      <x:c r="F37" s="699" t="n">
        <x:f>D22</x:f>
        <x:v>86.30985</x:v>
      </x:c>
      <x:c r="G37" s="675" t="str">
        <x:f>IF(IF($D37=$F37,ABS(G$28-$E37)&lt;=$D$27/2,AND(G$28&gt;=$D37,G$28&lt;=$F37)),1,"")</x:f>
      </x:c>
      <x:c r="H37" s="675" t="str">
        <x:f>IF(IF($D37=$F37,ABS(H$28-$E37)&lt;=$D$27/2,AND(H$28&gt;=$D37,H$28&lt;=$F37)),1,"")</x:f>
      </x:c>
      <x:c r="I37" s="675" t="str">
        <x:f>IF(IF($D37=$F37,ABS(I$28-$E37)&lt;=$D$27/2,AND(I$28&gt;=$D37,I$28&lt;=$F37)),1,"")</x:f>
      </x:c>
      <x:c r="J37" s="675" t="str">
        <x:f>IF(IF($D37=$F37,ABS(J$28-$E37)&lt;=$D$27/2,AND(J$28&gt;=$D37,J$28&lt;=$F37)),1,"")</x:f>
      </x:c>
      <x:c r="K37" s="675" t="str">
        <x:f>IF(IF($D37=$F37,ABS(K$28-$E37)&lt;=$D$27/2,AND(K$28&gt;=$D37,K$28&lt;=$F37)),1,"")</x:f>
      </x:c>
      <x:c r="L37" s="675" t="str">
        <x:f>IF(IF($D37=$F37,ABS(L$28-$E37)&lt;=$D$27/2,AND(L$28&gt;=$D37,L$28&lt;=$F37)),1,"")</x:f>
      </x:c>
      <x:c r="M37" s="675" t="str">
        <x:f>IF(IF($D37=$F37,ABS(M$28-$E37)&lt;=$D$27/2,AND(M$28&gt;=$D37,M$28&lt;=$F37)),1,"")</x:f>
      </x:c>
      <x:c r="N37" s="675" t="str">
        <x:f>IF(IF($D37=$F37,ABS(N$28-$E37)&lt;=$D$27/2,AND(N$28&gt;=$D37,N$28&lt;=$F37)),1,"")</x:f>
      </x:c>
      <x:c r="O37" s="675" t="str">
        <x:f>IF(IF($D37=$F37,ABS(O$28-$E37)&lt;=$D$27/2,AND(O$28&gt;=$D37,O$28&lt;=$F37)),1,"")</x:f>
      </x:c>
      <x:c r="P37" s="675" t="str">
        <x:f>IF(IF($D37=$F37,ABS(P$28-$E37)&lt;=$D$27/2,AND(P$28&gt;=$D37,P$28&lt;=$F37)),1,"")</x:f>
      </x:c>
      <x:c r="Q37" s="675" t="str">
        <x:f>IF(IF($D37=$F37,ABS(Q$28-$E37)&lt;=$D$27/2,AND(Q$28&gt;=$D37,Q$28&lt;=$F37)),1,"")</x:f>
      </x:c>
      <x:c r="R37" s="675" t="str">
        <x:f>IF(IF($D37=$F37,ABS(R$28-$E37)&lt;=$D$27/2,AND(R$28&gt;=$D37,R$28&lt;=$F37)),1,"")</x:f>
      </x:c>
      <x:c r="S37" s="675" t="str">
        <x:f>IF(IF($D37=$F37,ABS(S$28-$E37)&lt;=$D$27/2,AND(S$28&gt;=$D37,S$28&lt;=$F37)),1,"")</x:f>
      </x:c>
      <x:c r="T37" s="675" t="str">
        <x:f>IF(IF($D37=$F37,ABS(T$28-$E37)&lt;=$D$27/2,AND(T$28&gt;=$D37,T$28&lt;=$F37)),1,"")</x:f>
      </x:c>
      <x:c r="U37" s="675" t="str">
        <x:f>IF(IF($D37=$F37,ABS(U$28-$E37)&lt;=$D$27/2,AND(U$28&gt;=$D37,U$28&lt;=$F37)),1,"")</x:f>
      </x:c>
      <x:c r="V37" s="675" t="str">
        <x:f>IF(IF($D37=$F37,ABS(V$28-$E37)&lt;=$D$27/2,AND(V$28&gt;=$D37,V$28&lt;=$F37)),1,"")</x:f>
      </x:c>
      <x:c r="W37" s="675" t="str">
        <x:f>IF(IF($D37=$F37,ABS(W$28-$E37)&lt;=$D$27/2,AND(W$28&gt;=$D37,W$28&lt;=$F37)),1,"")</x:f>
      </x:c>
      <x:c r="X37" s="675" t="str">
        <x:f>IF(IF($D37=$F37,ABS(X$28-$E37)&lt;=$D$27/2,AND(X$28&gt;=$D37,X$28&lt;=$F37)),1,"")</x:f>
      </x:c>
      <x:c r="Y37" s="675" t="str">
        <x:f>IF(IF($D37=$F37,ABS(Y$28-$E37)&lt;=$D$27/2,AND(Y$28&gt;=$D37,Y$28&lt;=$F37)),1,"")</x:f>
      </x:c>
      <x:c r="Z37" s="675" t="str">
        <x:f>IF(IF($D37=$F37,ABS(Z$28-$E37)&lt;=$D$27/2,AND(Z$28&gt;=$D37,Z$28&lt;=$F37)),1,"")</x:f>
      </x:c>
      <x:c r="AA37" s="675" t="str">
        <x:f>IF(IF($D37=$F37,ABS(AA$28-$E37)&lt;=$D$27/2,AND(AA$28&gt;=$D37,AA$28&lt;=$F37)),1,"")</x:f>
      </x:c>
      <x:c r="AB37" s="675" t="str">
        <x:f>IF(IF($D37=$F37,ABS(AB$28-$E37)&lt;=$D$27/2,AND(AB$28&gt;=$D37,AB$28&lt;=$F37)),1,"")</x:f>
      </x:c>
      <x:c r="AC37" s="675" t="str">
        <x:f>IF(IF($D37=$F37,ABS(AC$28-$E37)&lt;=$D$27/2,AND(AC$28&gt;=$D37,AC$28&lt;=$F37)),1,"")</x:f>
      </x:c>
      <x:c r="AD37" s="675" t="str">
        <x:f>IF(IF($D37=$F37,ABS(AD$28-$E37)&lt;=$D$27/2,AND(AD$28&gt;=$D37,AD$28&lt;=$F37)),1,"")</x:f>
      </x:c>
      <x:c r="AE37" s="675" t="str">
        <x:f>IF(IF($D37=$F37,ABS(AE$28-$E37)&lt;=$D$27/2,AND(AE$28&gt;=$D37,AE$28&lt;=$F37)),1,"")</x:f>
      </x:c>
      <x:c r="AF37" s="675" t="n">
        <x:f>IF(IF($D37=$F37,ABS(AF$28-$E37)&lt;=$D$27/2,AND(AF$28&gt;=$D37,AF$28&lt;=$F37)),1,"")</x:f>
        <x:v>1</x:v>
      </x:c>
      <x:c r="AG37" s="675" t="n">
        <x:f>IF(IF($D37=$F37,ABS(AG$28-$E37)&lt;=$D$27/2,AND(AG$28&gt;=$D37,AG$28&lt;=$F37)),1,"")</x:f>
        <x:v>1</x:v>
      </x:c>
      <x:c r="AH37" s="675" t="str">
        <x:f>IF(IF($D37=$F37,ABS(AH$28-$E37)&lt;=$D$27/2,AND(AH$28&gt;=$D37,AH$28&lt;=$F37)),1,"")</x:f>
      </x:c>
      <x:c r="AI37" s="675" t="str">
        <x:f>IF(IF($D37=$F37,ABS(AI$28-$E37)&lt;=$D$27/2,AND(AI$28&gt;=$D37,AI$28&lt;=$F37)),1,"")</x:f>
      </x:c>
    </x:row>
    <x:row r="38" ht="18" customHeight="1">
      <x:c r="A38" s="673" t="str">
        <x:f>A23</x:f>
        <x:v>Unaffected Share Price</x:v>
      </x:c>
      <x:c r="B38" s="698"/>
      <x:c r="C38" s="698"/>
      <x:c r="D38" s="699" t="n">
        <x:f>B23</x:f>
        <x:v>59.73</x:v>
      </x:c>
      <x:c r="E38" s="699" t="n">
        <x:f>C23</x:f>
        <x:v>59.73</x:v>
      </x:c>
      <x:c r="F38" s="699" t="n">
        <x:f>D23</x:f>
        <x:v>59.73</x:v>
      </x:c>
      <x:c r="G38" s="675" t="str">
        <x:f>IF(IF($D38=$F38,ABS(G$28-$E38)&lt;=$D$27/2,AND(G$28&gt;=$D38,G$28&lt;=$F38)),1,"")</x:f>
      </x:c>
      <x:c r="H38" s="675" t="str">
        <x:f>IF(IF($D38=$F38,ABS(H$28-$E38)&lt;=$D$27/2,AND(H$28&gt;=$D38,H$28&lt;=$F38)),1,"")</x:f>
      </x:c>
      <x:c r="I38" s="675" t="str">
        <x:f>IF(IF($D38=$F38,ABS(I$28-$E38)&lt;=$D$27/2,AND(I$28&gt;=$D38,I$28&lt;=$F38)),1,"")</x:f>
      </x:c>
      <x:c r="J38" s="675" t="str">
        <x:f>IF(IF($D38=$F38,ABS(J$28-$E38)&lt;=$D$27/2,AND(J$28&gt;=$D38,J$28&lt;=$F38)),1,"")</x:f>
      </x:c>
      <x:c r="K38" s="675" t="str">
        <x:f>IF(IF($D38=$F38,ABS(K$28-$E38)&lt;=$D$27/2,AND(K$28&gt;=$D38,K$28&lt;=$F38)),1,"")</x:f>
      </x:c>
      <x:c r="L38" s="675" t="str">
        <x:f>IF(IF($D38=$F38,ABS(L$28-$E38)&lt;=$D$27/2,AND(L$28&gt;=$D38,L$28&lt;=$F38)),1,"")</x:f>
      </x:c>
      <x:c r="M38" s="675" t="str">
        <x:f>IF(IF($D38=$F38,ABS(M$28-$E38)&lt;=$D$27/2,AND(M$28&gt;=$D38,M$28&lt;=$F38)),1,"")</x:f>
      </x:c>
      <x:c r="N38" s="675" t="str">
        <x:f>IF(IF($D38=$F38,ABS(N$28-$E38)&lt;=$D$27/2,AND(N$28&gt;=$D38,N$28&lt;=$F38)),1,"")</x:f>
      </x:c>
      <x:c r="O38" s="675" t="str">
        <x:f>IF(IF($D38=$F38,ABS(O$28-$E38)&lt;=$D$27/2,AND(O$28&gt;=$D38,O$28&lt;=$F38)),1,"")</x:f>
      </x:c>
      <x:c r="P38" s="675" t="str">
        <x:f>IF(IF($D38=$F38,ABS(P$28-$E38)&lt;=$D$27/2,AND(P$28&gt;=$D38,P$28&lt;=$F38)),1,"")</x:f>
      </x:c>
      <x:c r="Q38" s="675" t="str">
        <x:f>IF(IF($D38=$F38,ABS(Q$28-$E38)&lt;=$D$27/2,AND(Q$28&gt;=$D38,Q$28&lt;=$F38)),1,"")</x:f>
      </x:c>
      <x:c r="R38" s="675" t="str">
        <x:f>IF(IF($D38=$F38,ABS(R$28-$E38)&lt;=$D$27/2,AND(R$28&gt;=$D38,R$28&lt;=$F38)),1,"")</x:f>
      </x:c>
      <x:c r="S38" s="675" t="str">
        <x:f>IF(IF($D38=$F38,ABS(S$28-$E38)&lt;=$D$27/2,AND(S$28&gt;=$D38,S$28&lt;=$F38)),1,"")</x:f>
      </x:c>
      <x:c r="T38" s="675" t="str">
        <x:f>IF(IF($D38=$F38,ABS(T$28-$E38)&lt;=$D$27/2,AND(T$28&gt;=$D38,T$28&lt;=$F38)),1,"")</x:f>
      </x:c>
      <x:c r="U38" s="675" t="str">
        <x:f>IF(IF($D38=$F38,ABS(U$28-$E38)&lt;=$D$27/2,AND(U$28&gt;=$D38,U$28&lt;=$F38)),1,"")</x:f>
      </x:c>
      <x:c r="V38" s="675" t="str">
        <x:f>IF(IF($D38=$F38,ABS(V$28-$E38)&lt;=$D$27/2,AND(V$28&gt;=$D38,V$28&lt;=$F38)),1,"")</x:f>
      </x:c>
      <x:c r="W38" s="675" t="n">
        <x:f>IF(IF($D38=$F38,ABS(W$28-$E38)&lt;=$D$27/2,AND(W$28&gt;=$D38,W$28&lt;=$F38)),1,"")</x:f>
        <x:v>1</x:v>
      </x:c>
      <x:c r="X38" s="675" t="str">
        <x:f>IF(IF($D38=$F38,ABS(X$28-$E38)&lt;=$D$27/2,AND(X$28&gt;=$D38,X$28&lt;=$F38)),1,"")</x:f>
      </x:c>
      <x:c r="Y38" s="675" t="str">
        <x:f>IF(IF($D38=$F38,ABS(Y$28-$E38)&lt;=$D$27/2,AND(Y$28&gt;=$D38,Y$28&lt;=$F38)),1,"")</x:f>
      </x:c>
      <x:c r="Z38" s="675" t="str">
        <x:f>IF(IF($D38=$F38,ABS(Z$28-$E38)&lt;=$D$27/2,AND(Z$28&gt;=$D38,Z$28&lt;=$F38)),1,"")</x:f>
      </x:c>
      <x:c r="AA38" s="675" t="str">
        <x:f>IF(IF($D38=$F38,ABS(AA$28-$E38)&lt;=$D$27/2,AND(AA$28&gt;=$D38,AA$28&lt;=$F38)),1,"")</x:f>
      </x:c>
      <x:c r="AB38" s="675" t="str">
        <x:f>IF(IF($D38=$F38,ABS(AB$28-$E38)&lt;=$D$27/2,AND(AB$28&gt;=$D38,AB$28&lt;=$F38)),1,"")</x:f>
      </x:c>
      <x:c r="AC38" s="675" t="str">
        <x:f>IF(IF($D38=$F38,ABS(AC$28-$E38)&lt;=$D$27/2,AND(AC$28&gt;=$D38,AC$28&lt;=$F38)),1,"")</x:f>
      </x:c>
      <x:c r="AD38" s="675" t="str">
        <x:f>IF(IF($D38=$F38,ABS(AD$28-$E38)&lt;=$D$27/2,AND(AD$28&gt;=$D38,AD$28&lt;=$F38)),1,"")</x:f>
      </x:c>
      <x:c r="AE38" s="675" t="str">
        <x:f>IF(IF($D38=$F38,ABS(AE$28-$E38)&lt;=$D$27/2,AND(AE$28&gt;=$D38,AE$28&lt;=$F38)),1,"")</x:f>
      </x:c>
      <x:c r="AF38" s="675" t="str">
        <x:f>IF(IF($D38=$F38,ABS(AF$28-$E38)&lt;=$D$27/2,AND(AF$28&gt;=$D38,AF$28&lt;=$F38)),1,"")</x:f>
      </x:c>
      <x:c r="AG38" s="675" t="str">
        <x:f>IF(IF($D38=$F38,ABS(AG$28-$E38)&lt;=$D$27/2,AND(AG$28&gt;=$D38,AG$28&lt;=$F38)),1,"")</x:f>
      </x:c>
      <x:c r="AH38" s="675" t="str">
        <x:f>IF(IF($D38=$F38,ABS(AH$28-$E38)&lt;=$D$27/2,AND(AH$28&gt;=$D38,AH$28&lt;=$F38)),1,"")</x:f>
      </x:c>
      <x:c r="AI38" s="675" t="str">
        <x:f>IF(IF($D38=$F38,ABS(AI$28-$E38)&lt;=$D$27/2,AND(AI$28&gt;=$D38,AI$28&lt;=$F38)),1,"")</x:f>
      </x:c>
    </x:row>
    <x:row r="39" ht="18" customHeight="1">
      <x:c r="A39" s="676" t="str">
        <x:f>A24</x:f>
        <x:v>Acquisition Range</x:v>
      </x:c>
      <x:c r="B39" s="700"/>
      <x:c r="C39" s="700"/>
      <x:c r="D39" s="701" t="n">
        <x:f>B24</x:f>
        <x:v>75</x:v>
      </x:c>
      <x:c r="E39" s="701" t="n">
        <x:f>C24</x:f>
        <x:v>80</x:v>
      </x:c>
      <x:c r="F39" s="701" t="n">
        <x:f>D24</x:f>
        <x:v>85</x:v>
      </x:c>
      <x:c r="G39" s="678" t="str">
        <x:f>IF(IF($D39=$F39,ABS(G$28-$E39)&lt;=$D$27/2,AND(G$28&gt;=$D39,G$28&lt;=$F39)),1,"")</x:f>
      </x:c>
      <x:c r="H39" s="678" t="str">
        <x:f>IF(IF($D39=$F39,ABS(H$28-$E39)&lt;=$D$27/2,AND(H$28&gt;=$D39,H$28&lt;=$F39)),1,"")</x:f>
      </x:c>
      <x:c r="I39" s="678" t="str">
        <x:f>IF(IF($D39=$F39,ABS(I$28-$E39)&lt;=$D$27/2,AND(I$28&gt;=$D39,I$28&lt;=$F39)),1,"")</x:f>
      </x:c>
      <x:c r="J39" s="678" t="str">
        <x:f>IF(IF($D39=$F39,ABS(J$28-$E39)&lt;=$D$27/2,AND(J$28&gt;=$D39,J$28&lt;=$F39)),1,"")</x:f>
      </x:c>
      <x:c r="K39" s="678" t="str">
        <x:f>IF(IF($D39=$F39,ABS(K$28-$E39)&lt;=$D$27/2,AND(K$28&gt;=$D39,K$28&lt;=$F39)),1,"")</x:f>
      </x:c>
      <x:c r="L39" s="678" t="str">
        <x:f>IF(IF($D39=$F39,ABS(L$28-$E39)&lt;=$D$27/2,AND(L$28&gt;=$D39,L$28&lt;=$F39)),1,"")</x:f>
      </x:c>
      <x:c r="M39" s="678" t="str">
        <x:f>IF(IF($D39=$F39,ABS(M$28-$E39)&lt;=$D$27/2,AND(M$28&gt;=$D39,M$28&lt;=$F39)),1,"")</x:f>
      </x:c>
      <x:c r="N39" s="678" t="str">
        <x:f>IF(IF($D39=$F39,ABS(N$28-$E39)&lt;=$D$27/2,AND(N$28&gt;=$D39,N$28&lt;=$F39)),1,"")</x:f>
      </x:c>
      <x:c r="O39" s="678" t="str">
        <x:f>IF(IF($D39=$F39,ABS(O$28-$E39)&lt;=$D$27/2,AND(O$28&gt;=$D39,O$28&lt;=$F39)),1,"")</x:f>
      </x:c>
      <x:c r="P39" s="678" t="str">
        <x:f>IF(IF($D39=$F39,ABS(P$28-$E39)&lt;=$D$27/2,AND(P$28&gt;=$D39,P$28&lt;=$F39)),1,"")</x:f>
      </x:c>
      <x:c r="Q39" s="678" t="str">
        <x:f>IF(IF($D39=$F39,ABS(Q$28-$E39)&lt;=$D$27/2,AND(Q$28&gt;=$D39,Q$28&lt;=$F39)),1,"")</x:f>
      </x:c>
      <x:c r="R39" s="678" t="str">
        <x:f>IF(IF($D39=$F39,ABS(R$28-$E39)&lt;=$D$27/2,AND(R$28&gt;=$D39,R$28&lt;=$F39)),1,"")</x:f>
      </x:c>
      <x:c r="S39" s="678" t="str">
        <x:f>IF(IF($D39=$F39,ABS(S$28-$E39)&lt;=$D$27/2,AND(S$28&gt;=$D39,S$28&lt;=$F39)),1,"")</x:f>
      </x:c>
      <x:c r="T39" s="678" t="str">
        <x:f>IF(IF($D39=$F39,ABS(T$28-$E39)&lt;=$D$27/2,AND(T$28&gt;=$D39,T$28&lt;=$F39)),1,"")</x:f>
      </x:c>
      <x:c r="U39" s="678" t="str">
        <x:f>IF(IF($D39=$F39,ABS(U$28-$E39)&lt;=$D$27/2,AND(U$28&gt;=$D39,U$28&lt;=$F39)),1,"")</x:f>
      </x:c>
      <x:c r="V39" s="678" t="str">
        <x:f>IF(IF($D39=$F39,ABS(V$28-$E39)&lt;=$D$27/2,AND(V$28&gt;=$D39,V$28&lt;=$F39)),1,"")</x:f>
      </x:c>
      <x:c r="W39" s="678" t="str">
        <x:f>IF(IF($D39=$F39,ABS(W$28-$E39)&lt;=$D$27/2,AND(W$28&gt;=$D39,W$28&lt;=$F39)),1,"")</x:f>
      </x:c>
      <x:c r="X39" s="678" t="str">
        <x:f>IF(IF($D39=$F39,ABS(X$28-$E39)&lt;=$D$27/2,AND(X$28&gt;=$D39,X$28&lt;=$F39)),1,"")</x:f>
      </x:c>
      <x:c r="Y39" s="678" t="str">
        <x:f>IF(IF($D39=$F39,ABS(Y$28-$E39)&lt;=$D$27/2,AND(Y$28&gt;=$D39,Y$28&lt;=$F39)),1,"")</x:f>
      </x:c>
      <x:c r="Z39" s="678" t="str">
        <x:f>IF(IF($D39=$F39,ABS(Z$28-$E39)&lt;=$D$27/2,AND(Z$28&gt;=$D39,Z$28&lt;=$F39)),1,"")</x:f>
      </x:c>
      <x:c r="AA39" s="678" t="str">
        <x:f>IF(IF($D39=$F39,ABS(AA$28-$E39)&lt;=$D$27/2,AND(AA$28&gt;=$D39,AA$28&lt;=$F39)),1,"")</x:f>
      </x:c>
      <x:c r="AB39" s="678" t="str">
        <x:f>IF(IF($D39=$F39,ABS(AB$28-$E39)&lt;=$D$27/2,AND(AB$28&gt;=$D39,AB$28&lt;=$F39)),1,"")</x:f>
      </x:c>
      <x:c r="AC39" s="678" t="n">
        <x:f>IF(IF($D39=$F39,ABS(AC$28-$E39)&lt;=$D$27/2,AND(AC$28&gt;=$D39,AC$28&lt;=$F39)),1,"")</x:f>
        <x:v>1</x:v>
      </x:c>
      <x:c r="AD39" s="678" t="n">
        <x:f>IF(IF($D39=$F39,ABS(AD$28-$E39)&lt;=$D$27/2,AND(AD$28&gt;=$D39,AD$28&lt;=$F39)),1,"")</x:f>
        <x:v>1</x:v>
      </x:c>
      <x:c r="AE39" s="678" t="n">
        <x:f>IF(IF($D39=$F39,ABS(AE$28-$E39)&lt;=$D$27/2,AND(AE$28&gt;=$D39,AE$28&lt;=$F39)),1,"")</x:f>
        <x:v>1</x:v>
      </x:c>
      <x:c r="AF39" s="678" t="n">
        <x:f>IF(IF($D39=$F39,ABS(AF$28-$E39)&lt;=$D$27/2,AND(AF$28&gt;=$D39,AF$28&lt;=$F39)),1,"")</x:f>
        <x:v>1</x:v>
      </x:c>
      <x:c r="AG39" s="678" t="n">
        <x:f>IF(IF($D39=$F39,ABS(AG$28-$E39)&lt;=$D$27/2,AND(AG$28&gt;=$D39,AG$28&lt;=$F39)),1,"")</x:f>
        <x:v>1</x:v>
      </x:c>
      <x:c r="AH39" s="678" t="str">
        <x:f>IF(IF($D39=$F39,ABS(AH$28-$E39)&lt;=$D$27/2,AND(AH$28&gt;=$D39,AH$28&lt;=$F39)),1,"")</x:f>
      </x:c>
      <x:c r="AI39" s="678" t="str">
        <x:f>IF(IF($D39=$F39,ABS(AI$28-$E39)&lt;=$D$27/2,AND(AI$28&gt;=$D39,AI$28&lt;=$F39)),1,"")</x:f>
      </x:c>
    </x:row>
    <x:row r="40" ht="18" customHeight="1">
      <x:c r="A40" s="538"/>
      <x:c r="B40" s="538"/>
      <x:c r="C40" s="538"/>
      <x:c r="D40" s="538"/>
      <x:c r="E40" s="538"/>
      <x:c r="F40" s="538"/>
      <x:c r="G40" s="538"/>
      <x:c r="H40" s="538"/>
      <x:c r="I40" s="538"/>
      <x:c r="J40" s="538"/>
      <x:c r="K40" s="538"/>
      <x:c r="L40" s="538"/>
      <x:c r="M40" s="538"/>
      <x:c r="N40" s="538"/>
      <x:c r="O40" s="538"/>
      <x:c r="P40" s="538"/>
      <x:c r="Q40" s="538"/>
      <x:c r="R40" s="538"/>
      <x:c r="S40" s="538"/>
      <x:c r="T40" s="538"/>
      <x:c r="U40" s="538"/>
      <x:c r="V40" s="538"/>
      <x:c r="W40" s="538"/>
      <x:c r="X40" s="538"/>
      <x:c r="Y40" s="538"/>
      <x:c r="Z40" s="538"/>
      <x:c r="AA40" s="538"/>
      <x:c r="AB40" s="538"/>
      <x:c r="AC40" s="538"/>
      <x:c r="AD40" s="538"/>
      <x:c r="AE40" s="538"/>
      <x:c r="AF40" s="538"/>
      <x:c r="AG40" s="538"/>
      <x:c r="AH40" s="538"/>
      <x:c r="AI40" s="538"/>
    </x:row>
    <x:row r="41" ht="18" customHeight="1">
      <x:c r="A41" s="652" t="str">
        <x:v>ANALYST INTERPRETATION</x:v>
      </x:c>
      <x:c r="B41" s="652"/>
      <x:c r="C41" s="652"/>
      <x:c r="D41" s="652"/>
      <x:c r="E41" s="652"/>
      <x:c r="F41" s="652"/>
      <x:c r="G41" s="652"/>
      <x:c r="H41" s="652"/>
      <x:c r="I41" s="652"/>
      <x:c r="J41" s="652"/>
      <x:c r="K41" s="652"/>
      <x:c r="L41" s="652"/>
      <x:c r="M41" s="652"/>
      <x:c r="N41" s="652"/>
      <x:c r="O41" s="652"/>
      <x:c r="P41" s="652"/>
      <x:c r="Q41" s="652"/>
      <x:c r="R41" s="652"/>
      <x:c r="S41" s="652"/>
      <x:c r="T41" s="652"/>
      <x:c r="U41" s="652"/>
      <x:c r="V41" s="652"/>
      <x:c r="W41" s="652"/>
      <x:c r="X41" s="652"/>
      <x:c r="Y41" s="652"/>
      <x:c r="Z41" s="652"/>
      <x:c r="AA41" s="652"/>
      <x:c r="AB41" s="652"/>
      <x:c r="AC41" s="652"/>
      <x:c r="AD41" s="652"/>
      <x:c r="AE41" s="652"/>
      <x:c r="AF41" s="652"/>
      <x:c r="AG41" s="652"/>
      <x:c r="AH41" s="652"/>
      <x:c r="AI41" s="652"/>
    </x:row>
    <x:row r="42" ht="28" customHeight="1">
      <x:c r="A42" s="679" t="str">
        <x:v>Standalone methodologies indicate approximately $40–$55 per share when the low DCF is treated as an intrinsic-value anchor and greater weight is placed on market and transaction operating multiples. This range is below the unaffected price, showing that current market expectations already embed value beyond the base standalone case.</x:v>
      </x:c>
      <x:c r="B42" s="679"/>
      <x:c r="C42" s="679"/>
      <x:c r="D42" s="679"/>
      <x:c r="E42" s="679"/>
      <x:c r="F42" s="679"/>
      <x:c r="G42" s="679"/>
      <x:c r="H42" s="679"/>
      <x:c r="I42" s="679"/>
      <x:c r="J42" s="679"/>
      <x:c r="K42" s="679"/>
      <x:c r="L42" s="679"/>
      <x:c r="M42" s="679"/>
      <x:c r="N42" s="679"/>
      <x:c r="O42" s="679"/>
      <x:c r="P42" s="679"/>
      <x:c r="Q42" s="679"/>
      <x:c r="R42" s="679"/>
      <x:c r="S42" s="679"/>
      <x:c r="T42" s="679"/>
      <x:c r="U42" s="679"/>
      <x:c r="V42" s="679"/>
      <x:c r="W42" s="679"/>
      <x:c r="X42" s="679"/>
      <x:c r="Y42" s="679"/>
      <x:c r="Z42" s="679"/>
      <x:c r="AA42" s="679"/>
      <x:c r="AB42" s="679"/>
      <x:c r="AC42" s="679"/>
      <x:c r="AD42" s="679"/>
      <x:c r="AE42" s="679"/>
      <x:c r="AF42" s="679"/>
      <x:c r="AG42" s="679"/>
      <x:c r="AH42" s="679"/>
      <x:c r="AI42" s="679"/>
    </x:row>
    <x:row r="43" ht="28" customHeight="1">
      <x:c r="A43" s="679" t="str">
        <x:v>The $75–$85 acquisition range is not a weighted average of the valuation methods. It is a control-price framework anchored by the unaffected share price and observed precedent premiums. The $80 midpoint implies a 33.9% premium and must be tested against Rockwell financing capacity, accretion/dilution, and required synergies.</x:v>
      </x:c>
      <x:c r="B43" s="679"/>
      <x:c r="C43" s="679"/>
      <x:c r="D43" s="679"/>
      <x:c r="E43" s="679"/>
      <x:c r="F43" s="679"/>
      <x:c r="G43" s="679"/>
      <x:c r="H43" s="679"/>
      <x:c r="I43" s="679"/>
      <x:c r="J43" s="679"/>
      <x:c r="K43" s="679"/>
      <x:c r="L43" s="679"/>
      <x:c r="M43" s="679"/>
      <x:c r="N43" s="679"/>
      <x:c r="O43" s="679"/>
      <x:c r="P43" s="679"/>
      <x:c r="Q43" s="679"/>
      <x:c r="R43" s="679"/>
      <x:c r="S43" s="679"/>
      <x:c r="T43" s="679"/>
      <x:c r="U43" s="679"/>
      <x:c r="V43" s="679"/>
      <x:c r="W43" s="679"/>
      <x:c r="X43" s="679"/>
      <x:c r="Y43" s="679"/>
      <x:c r="Z43" s="679"/>
      <x:c r="AA43" s="679"/>
      <x:c r="AB43" s="679"/>
      <x:c r="AC43" s="679"/>
      <x:c r="AD43" s="679"/>
      <x:c r="AE43" s="679"/>
      <x:c r="AF43" s="679"/>
      <x:c r="AG43" s="679"/>
      <x:c r="AH43" s="679"/>
      <x:c r="AI43" s="679"/>
    </x:row>
    <x:row r="44" ht="28" customHeight="1">
      <x:c r="A44" s="680" t="str">
        <x:v>Avoid double-counting: the premium-paid range already reflects control and anticipated strategic value. Synergies will be modeled separately and used to test how much of the purchase premium Rockwell can economically support.</x:v>
      </x:c>
      <x:c r="B44" s="680"/>
      <x:c r="C44" s="680"/>
      <x:c r="D44" s="680"/>
      <x:c r="E44" s="680"/>
      <x:c r="F44" s="680"/>
      <x:c r="G44" s="680"/>
      <x:c r="H44" s="680"/>
      <x:c r="I44" s="680"/>
      <x:c r="J44" s="680"/>
      <x:c r="K44" s="680"/>
      <x:c r="L44" s="680"/>
      <x:c r="M44" s="680"/>
      <x:c r="N44" s="680"/>
      <x:c r="O44" s="680"/>
      <x:c r="P44" s="680"/>
      <x:c r="Q44" s="680"/>
      <x:c r="R44" s="680"/>
      <x:c r="S44" s="680"/>
      <x:c r="T44" s="680"/>
      <x:c r="U44" s="680"/>
      <x:c r="V44" s="680"/>
      <x:c r="W44" s="680"/>
      <x:c r="X44" s="680"/>
      <x:c r="Y44" s="680"/>
      <x:c r="Z44" s="680"/>
      <x:c r="AA44" s="680"/>
      <x:c r="AB44" s="680"/>
      <x:c r="AC44" s="680"/>
      <x:c r="AD44" s="680"/>
      <x:c r="AE44" s="680"/>
      <x:c r="AF44" s="680"/>
      <x:c r="AG44" s="680"/>
      <x:c r="AH44" s="680"/>
      <x:c r="AI44" s="680"/>
    </x:row>
  </x:sheetData>
  <x:mergeCells>
    <x:mergeCell ref="A1:AI1"/>
    <x:mergeCell ref="A2:AI2"/>
    <x:mergeCell ref="B3:AI3"/>
    <x:mergeCell ref="A5:AI5"/>
    <x:mergeCell ref="H6:AI10"/>
    <x:mergeCell ref="A12:AI12"/>
    <x:mergeCell ref="A26:AI26"/>
    <x:mergeCell ref="A28:F28"/>
    <x:mergeCell ref="A29:C29"/>
    <x:mergeCell ref="A30:C30"/>
    <x:mergeCell ref="A31:C31"/>
    <x:mergeCell ref="A32:C32"/>
    <x:mergeCell ref="A33:C33"/>
    <x:mergeCell ref="A34:C34"/>
    <x:mergeCell ref="A35:C35"/>
    <x:mergeCell ref="A36:C36"/>
    <x:mergeCell ref="A37:C37"/>
    <x:mergeCell ref="A38:C38"/>
    <x:mergeCell ref="A39:C39"/>
    <x:mergeCell ref="A41:AI41"/>
    <x:mergeCell ref="A42:AI42"/>
    <x:mergeCell ref="A43:AI43"/>
    <x:mergeCell ref="A44:AI44"/>
  </x:mergeCells>
  <x:conditionalFormatting sqref="G29:AI29">
    <x:cfRule type="cellIs" dxfId="6" priority="1" operator="equal">
      <x:formula>1</x:formula>
    </x:cfRule>
  </x:conditionalFormatting>
  <x:conditionalFormatting sqref="G30:AI30">
    <x:cfRule type="cellIs" dxfId="7" priority="2" operator="equal">
      <x:formula>1</x:formula>
    </x:cfRule>
  </x:conditionalFormatting>
  <x:conditionalFormatting sqref="G31:AI31">
    <x:cfRule type="cellIs" dxfId="8" priority="3" operator="equal">
      <x:formula>1</x:formula>
    </x:cfRule>
  </x:conditionalFormatting>
  <x:conditionalFormatting sqref="G32:AI32">
    <x:cfRule type="cellIs" dxfId="9" priority="4" operator="equal">
      <x:formula>1</x:formula>
    </x:cfRule>
  </x:conditionalFormatting>
  <x:conditionalFormatting sqref="G33:AI33">
    <x:cfRule type="cellIs" dxfId="10" priority="5" operator="equal">
      <x:formula>1</x:formula>
    </x:cfRule>
  </x:conditionalFormatting>
  <x:conditionalFormatting sqref="G34:AI34">
    <x:cfRule type="cellIs" dxfId="11" priority="6" operator="equal">
      <x:formula>1</x:formula>
    </x:cfRule>
  </x:conditionalFormatting>
  <x:conditionalFormatting sqref="G35:AI35">
    <x:cfRule type="cellIs" dxfId="12" priority="7" operator="equal">
      <x:formula>1</x:formula>
    </x:cfRule>
  </x:conditionalFormatting>
  <x:conditionalFormatting sqref="G36:AI36">
    <x:cfRule type="cellIs" dxfId="13" priority="8" operator="equal">
      <x:formula>1</x:formula>
    </x:cfRule>
  </x:conditionalFormatting>
  <x:conditionalFormatting sqref="G37:AI37">
    <x:cfRule type="cellIs" dxfId="14" priority="9" operator="equal">
      <x:formula>1</x:formula>
    </x:cfRule>
  </x:conditionalFormatting>
  <x:conditionalFormatting sqref="G38:AI38">
    <x:cfRule type="cellIs" dxfId="15" priority="10" operator="equal">
      <x:formula>1</x:formula>
    </x:cfRule>
  </x:conditionalFormatting>
  <x:conditionalFormatting sqref="G39:AI39">
    <x:cfRule type="cellIs" dxfId="16" priority="11" operator="equal">
      <x:formula>1</x:formula>
    </x:cfRule>
  </x:conditionalFormatting>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28" hidden="0" customWidth="1"/>
    <x:col min="2" max="2" width="14" hidden="0" customWidth="1"/>
    <x:col min="3" max="3" width="18" hidden="0" customWidth="1"/>
    <x:col min="4" max="4" width="22" hidden="0" customWidth="1"/>
    <x:col min="5" max="5" width="18" hidden="0" customWidth="1"/>
    <x:col min="6" max="6" width="18" hidden="0" customWidth="1"/>
    <x:col min="7" max="7" width="3" hidden="0" customWidth="1"/>
    <x:col min="8" max="8" width="30" hidden="0" customWidth="1"/>
    <x:col min="9" max="9" width="14"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ht="28" customHeight="1">
      <x:c r="A1" s="707" t="str">
        <x:v>Sources &amp; Uses</x:v>
      </x:c>
      <x:c r="B1" s="707"/>
      <x:c r="C1" s="707"/>
      <x:c r="D1" s="707"/>
      <x:c r="E1" s="707"/>
      <x:c r="F1" s="707"/>
      <x:c r="G1" s="707"/>
      <x:c r="H1" s="707"/>
      <x:c r="I1" s="707"/>
      <x:c r="J1" s="707"/>
      <x:c r="K1" s="707"/>
      <x:c r="L1" s="707"/>
      <x:c r="M1" s="707"/>
      <x:c r="N1" s="707"/>
      <x:c r="O1" s="707"/>
    </x:row>
    <x:row r="2" ht="18" customHeight="1">
      <x:c r="A2" s="709" t="str">
        <x:v>Purchase price, consideration mix, funding sources, ownership, and pro forma leverage | USD millions except per-share data</x:v>
      </x:c>
      <x:c r="B2" s="709"/>
      <x:c r="C2" s="709"/>
      <x:c r="D2" s="709"/>
      <x:c r="E2" s="709"/>
      <x:c r="F2" s="709"/>
      <x:c r="G2" s="709"/>
      <x:c r="H2" s="709"/>
      <x:c r="I2" s="709"/>
      <x:c r="J2" s="709"/>
      <x:c r="K2" s="709"/>
      <x:c r="L2" s="709"/>
      <x:c r="M2" s="709"/>
      <x:c r="N2" s="709"/>
      <x:c r="O2" s="709"/>
    </x:row>
    <x:row r="3" ht="18" customHeight="1">
      <x:c r="A3" s="432" t="str">
        <x:v>Status</x:v>
      </x:c>
      <x:c r="B3" s="711" t="str">
        <x:v>Complete — illustrative 30% cash / 70% stock consideration with $4.0 billion of new debt</x:v>
      </x:c>
      <x:c r="C3" s="711"/>
      <x:c r="D3" s="711"/>
      <x:c r="E3" s="711"/>
      <x:c r="F3" s="711"/>
      <x:c r="G3" s="711"/>
      <x:c r="H3" s="711"/>
      <x:c r="I3" s="711"/>
      <x:c r="J3" s="711"/>
      <x:c r="K3" s="711"/>
      <x:c r="L3" s="711"/>
      <x:c r="M3" s="711"/>
      <x:c r="N3" s="711"/>
      <x:c r="O3" s="711"/>
    </x:row>
    <x:row r="4" ht="18" customHeight="1">
      <x:c r="A4" s="538"/>
      <x:c r="B4" s="538"/>
      <x:c r="C4" s="538"/>
      <x:c r="D4" s="538"/>
      <x:c r="E4" s="538"/>
      <x:c r="F4" s="538"/>
      <x:c r="G4" s="538"/>
      <x:c r="H4" s="538"/>
      <x:c r="I4" s="538"/>
      <x:c r="J4" s="538"/>
      <x:c r="K4" s="538"/>
      <x:c r="L4" s="538"/>
      <x:c r="M4" s="538"/>
      <x:c r="N4" s="538"/>
      <x:c r="O4" s="538"/>
    </x:row>
    <x:row r="5" ht="18" customHeight="1">
      <x:c r="A5" s="713" t="str">
        <x:v>TRANSACTION ASSUMPTIONS</x:v>
      </x:c>
      <x:c r="B5" s="713"/>
      <x:c r="C5" s="713"/>
      <x:c r="D5" s="713"/>
      <x:c r="E5" s="713"/>
      <x:c r="F5" s="713"/>
      <x:c r="G5" s="538"/>
      <x:c r="H5" s="713" t="str">
        <x:v>PURCHASE PRICE BRIDGE</x:v>
      </x:c>
      <x:c r="I5" s="713"/>
      <x:c r="J5" s="713"/>
      <x:c r="K5" s="713"/>
      <x:c r="L5" s="713"/>
      <x:c r="M5" s="713"/>
      <x:c r="N5" s="713"/>
      <x:c r="O5" s="713"/>
    </x:row>
    <x:row r="6" ht="24" customHeight="1">
      <x:c r="A6" s="715" t="str">
        <x:v>Offer price / share</x:v>
      </x:c>
      <x:c r="B6" s="663" t="n">
        <x:f>'Valuation Summary'!B9</x:f>
        <x:v>80</x:v>
      </x:c>
      <x:c r="C6" s="436" t="str">
        <x:v>$ / share</x:v>
      </x:c>
      <x:c r="D6" s="436" t="str">
        <x:v>Valuation Summary</x:v>
      </x:c>
      <x:c r="E6" s="664" t="str">
        <x:v>Midpoint of the selected acquisition range</x:v>
      </x:c>
      <x:c r="F6" s="664"/>
      <x:c r="G6" s="538"/>
      <x:c r="H6" s="715" t="str">
        <x:v>Equity purchase price</x:v>
      </x:c>
      <x:c r="I6" s="739" t="n">
        <x:f>B6*B9</x:f>
        <x:v>13457.919999999998</x:v>
      </x:c>
      <x:c r="J6" s="664" t="str">
        <x:v>Offer price × diluted target shares</x:v>
      </x:c>
      <x:c r="K6" s="664"/>
      <x:c r="L6" s="664"/>
      <x:c r="M6" s="664"/>
      <x:c r="N6" s="664"/>
      <x:c r="O6" s="664"/>
    </x:row>
    <x:row r="7" ht="24" customHeight="1">
      <x:c r="A7" s="715" t="str">
        <x:v>Unaffected share price</x:v>
      </x:c>
      <x:c r="B7" s="663" t="n">
        <x:f>'Valuation Summary'!B6</x:f>
        <x:v>59.73</x:v>
      </x:c>
      <x:c r="C7" s="436" t="str">
        <x:v>$ / share</x:v>
      </x:c>
      <x:c r="D7" s="436" t="str">
        <x:v>S-039 / Valuation Summary</x:v>
      </x:c>
      <x:c r="E7" s="664" t="str">
        <x:v>Closing price on Aug. 20, 2026</x:v>
      </x:c>
      <x:c r="F7" s="664"/>
      <x:c r="G7" s="538"/>
      <x:c r="H7" s="715" t="str">
        <x:v>Add: target debt</x:v>
      </x:c>
      <x:c r="I7" s="739" t="n">
        <x:f>'DCF'!B20</x:f>
        <x:v>0</x:v>
      </x:c>
      <x:c r="J7" s="664" t="str">
        <x:v>Cognex has no funded debt</x:v>
      </x:c>
      <x:c r="K7" s="664"/>
      <x:c r="L7" s="664"/>
      <x:c r="M7" s="664"/>
      <x:c r="N7" s="664"/>
      <x:c r="O7" s="664"/>
    </x:row>
    <x:row r="8" ht="24" customHeight="1">
      <x:c r="A8" s="715" t="str">
        <x:v>Offer premium</x:v>
      </x:c>
      <x:c r="B8" s="733" t="n">
        <x:f>B6/B7-1</x:f>
        <x:v>0.3393604553825549</x:v>
      </x:c>
      <x:c r="C8" s="436" t="str">
        <x:v>%</x:v>
      </x:c>
      <x:c r="D8" s="436" t="str">
        <x:v>Calculated</x:v>
      </x:c>
      <x:c r="E8" s="664" t="str">
        <x:v>Offer price divided by unaffected price less one</x:v>
      </x:c>
      <x:c r="F8" s="664"/>
      <x:c r="G8" s="538"/>
      <x:c r="H8" s="715" t="str">
        <x:v>Less: target cash and investments</x:v>
      </x:c>
      <x:c r="I8" s="739" t="n">
        <x:f>'DCF'!B19</x:f>
        <x:v>755.013</x:v>
      </x:c>
      <x:c r="J8" s="664" t="str">
        <x:v>Acquired cash reduces enterprise value but is not used as a closing source</x:v>
      </x:c>
      <x:c r="K8" s="664"/>
      <x:c r="L8" s="664"/>
      <x:c r="M8" s="664"/>
      <x:c r="N8" s="664"/>
      <x:c r="O8" s="664"/>
    </x:row>
    <x:row r="9" ht="24" customHeight="1">
      <x:c r="A9" s="715" t="str">
        <x:v>Target diluted shares</x:v>
      </x:c>
      <x:c r="B9" s="560" t="n">
        <x:f>'DCF'!B21</x:f>
        <x:v>168.224</x:v>
      </x:c>
      <x:c r="C9" s="436" t="str">
        <x:v>mm</x:v>
      </x:c>
      <x:c r="D9" s="436" t="str">
        <x:v>DCF / S-022</x:v>
      </x:c>
      <x:c r="E9" s="664" t="str">
        <x:v>Latest target share-count proxy</x:v>
      </x:c>
      <x:c r="F9" s="664"/>
      <x:c r="G9" s="538"/>
      <x:c r="H9" s="715" t="str">
        <x:v>Transaction enterprise value</x:v>
      </x:c>
      <x:c r="I9" s="739" t="n">
        <x:f>I6+I7-I8</x:f>
        <x:v>12702.906999999997</x:v>
      </x:c>
      <x:c r="J9" s="664" t="str">
        <x:v>Equity value plus debt less cash</x:v>
      </x:c>
      <x:c r="K9" s="664"/>
      <x:c r="L9" s="664"/>
      <x:c r="M9" s="664"/>
      <x:c r="N9" s="664"/>
      <x:c r="O9" s="664"/>
    </x:row>
    <x:row r="10" ht="24" customHeight="1">
      <x:c r="A10" s="715" t="str">
        <x:v>Cash consideration</x:v>
      </x:c>
      <x:c r="B10" s="734" t="n">
        <x:v>0.3</x:v>
      </x:c>
      <x:c r="C10" s="436" t="str">
        <x:v>%</x:v>
      </x:c>
      <x:c r="D10" s="436" t="str">
        <x:v>Analyst assumption</x:v>
      </x:c>
      <x:c r="E10" s="664" t="str">
        <x:v>Cash portion paid to target shareholders</x:v>
      </x:c>
      <x:c r="F10" s="664"/>
      <x:c r="G10" s="538"/>
      <x:c r="H10" s="715" t="str">
        <x:v>EV / FY2026E revenue</x:v>
      </x:c>
      <x:c r="I10" s="740" t="n">
        <x:f>I9/'CGNX Operating Model'!E20</x:f>
        <x:v>11.14290087719298</x:v>
      </x:c>
      <x:c r="J10" s="664" t="str">
        <x:v>High relative to fundamental revenue benchmarks</x:v>
      </x:c>
      <x:c r="K10" s="664"/>
      <x:c r="L10" s="664"/>
      <x:c r="M10" s="664"/>
      <x:c r="N10" s="664"/>
      <x:c r="O10" s="664"/>
    </x:row>
    <x:row r="11" ht="24" customHeight="1">
      <x:c r="A11" s="715" t="str">
        <x:v>Stock consideration</x:v>
      </x:c>
      <x:c r="B11" s="735" t="n">
        <x:f>1-B10</x:f>
        <x:v>0.7</x:v>
      </x:c>
      <x:c r="C11" s="436" t="str">
        <x:v>%</x:v>
      </x:c>
      <x:c r="D11" s="436" t="str">
        <x:v>Calculated</x:v>
      </x:c>
      <x:c r="E11" s="664" t="str">
        <x:v>Direct ROK shares issued to target shareholders</x:v>
      </x:c>
      <x:c r="F11" s="664"/>
      <x:c r="G11" s="538"/>
      <x:c r="H11" s="715" t="str">
        <x:v>EV / FY2026E EBITDA</x:v>
      </x:c>
      <x:c r="I11" s="740" t="n">
        <x:f>I9/'CGNX Operating Model'!E32</x:f>
        <x:v>38.42379612825166</x:v>
      </x:c>
      <x:c r="J11" s="664" t="str">
        <x:v>High relative to trading and precedent EBITDA benchmarks</x:v>
      </x:c>
      <x:c r="K11" s="664"/>
      <x:c r="L11" s="664"/>
      <x:c r="M11" s="664"/>
      <x:c r="N11" s="664"/>
      <x:c r="O11" s="664"/>
    </x:row>
    <x:row r="12" ht="24" customHeight="1">
      <x:c r="A12" s="715" t="str">
        <x:v>Transaction fees</x:v>
      </x:c>
      <x:c r="B12" s="734" t="n">
        <x:v>0.01</x:v>
      </x:c>
      <x:c r="C12" s="436" t="str">
        <x:v>% equity purchase price</x:v>
      </x:c>
      <x:c r="D12" s="436" t="str">
        <x:v>Analyst assumption</x:v>
      </x:c>
      <x:c r="E12" s="664" t="str">
        <x:v>Legal, advisory, accounting, and integration-planning fees</x:v>
      </x:c>
      <x:c r="F12" s="664"/>
      <x:c r="G12" s="538"/>
      <x:c r="H12" s="715" t="str">
        <x:v>FY2026E P / E</x:v>
      </x:c>
      <x:c r="I12" s="740" t="n">
        <x:f>B6/'Trading Comps'!B28</x:f>
        <x:v>53.484315789473676</x:v>
      </x:c>
      <x:c r="J12" s="664" t="str">
        <x:v>Within the upper portion of the trading P / E range</x:v>
      </x:c>
      <x:c r="K12" s="664"/>
      <x:c r="L12" s="664"/>
      <x:c r="M12" s="664"/>
      <x:c r="N12" s="664"/>
      <x:c r="O12" s="664"/>
    </x:row>
    <x:row r="13" ht="24" customHeight="1">
      <x:c r="A13" s="715" t="str">
        <x:v>Debt financing fees</x:v>
      </x:c>
      <x:c r="B13" s="734" t="n">
        <x:v>0.01</x:v>
      </x:c>
      <x:c r="C13" s="436" t="str">
        <x:v>% new debt</x:v>
      </x:c>
      <x:c r="D13" s="436" t="str">
        <x:v>Analyst assumption</x:v>
      </x:c>
      <x:c r="E13" s="664" t="str">
        <x:v>Upfront fees on new debt</x:v>
      </x:c>
      <x:c r="F13" s="664"/>
      <x:c r="G13" s="538"/>
      <x:c r="H13" s="538"/>
      <x:c r="I13" s="538"/>
      <x:c r="J13" s="554"/>
      <x:c r="K13" s="554"/>
      <x:c r="L13" s="554"/>
      <x:c r="M13" s="554"/>
      <x:c r="N13" s="554"/>
      <x:c r="O13" s="554"/>
    </x:row>
    <x:row r="14" ht="24" customHeight="1">
      <x:c r="A14" s="715" t="str">
        <x:v>New term loan / bridge</x:v>
      </x:c>
      <x:c r="B14" s="736" t="n">
        <x:v>2000</x:v>
      </x:c>
      <x:c r="C14" s="436" t="str">
        <x:v>$mm</x:v>
      </x:c>
      <x:c r="D14" s="436" t="str">
        <x:v>Analyst assumption</x:v>
      </x:c>
      <x:c r="E14" s="664" t="str">
        <x:v>Illustrative acquisition bridge / term loan</x:v>
      </x:c>
      <x:c r="F14" s="664"/>
      <x:c r="G14" s="538"/>
      <x:c r="H14" s="713" t="str">
        <x:v>KEY OUTPUTS</x:v>
      </x:c>
      <x:c r="I14" s="713"/>
      <x:c r="J14" s="753"/>
      <x:c r="K14" s="753"/>
      <x:c r="L14" s="753"/>
      <x:c r="M14" s="753"/>
      <x:c r="N14" s="753"/>
      <x:c r="O14" s="753"/>
    </x:row>
    <x:row r="15" ht="24" customHeight="1">
      <x:c r="A15" s="715" t="str">
        <x:v>New senior notes</x:v>
      </x:c>
      <x:c r="B15" s="736" t="n">
        <x:v>2000</x:v>
      </x:c>
      <x:c r="C15" s="436" t="str">
        <x:v>$mm</x:v>
      </x:c>
      <x:c r="D15" s="436" t="str">
        <x:v>Analyst assumption</x:v>
      </x:c>
      <x:c r="E15" s="664" t="str">
        <x:v>Illustrative permanent debt financing</x:v>
      </x:c>
      <x:c r="F15" s="664"/>
      <x:c r="G15" s="538"/>
      <x:c r="H15" s="715" t="str">
        <x:v>Total transaction uses</x:v>
      </x:c>
      <x:c r="I15" s="741" t="n">
        <x:f>B26</x:f>
        <x:v>13632.499199999998</x:v>
      </x:c>
      <x:c r="J15" s="664" t="str">
        <x:v>Purchase consideration plus fees</x:v>
      </x:c>
      <x:c r="K15" s="664"/>
      <x:c r="L15" s="664"/>
      <x:c r="M15" s="664"/>
      <x:c r="N15" s="664"/>
      <x:c r="O15" s="664"/>
    </x:row>
    <x:row r="16" ht="24" customHeight="1">
      <x:c r="A16" s="715" t="str">
        <x:v>New debt interest rate</x:v>
      </x:c>
      <x:c r="B16" s="734" t="n">
        <x:v>0.06</x:v>
      </x:c>
      <x:c r="C16" s="436" t="str">
        <x:v>%</x:v>
      </x:c>
      <x:c r="D16" s="436" t="str">
        <x:v>Analyst assumption</x:v>
      </x:c>
      <x:c r="E16" s="664" t="str">
        <x:v>Blended pre-tax rate used in accretion/dilution</x:v>
      </x:c>
      <x:c r="F16" s="664"/>
      <x:c r="G16" s="538"/>
      <x:c r="H16" s="715" t="str">
        <x:v>New ROK shares issued</x:v>
      </x:c>
      <x:c r="I16" s="742" t="n">
        <x:f>I33</x:f>
        <x:v>21.834613512573874</x:v>
      </x:c>
      <x:c r="J16" s="664" t="str">
        <x:v>Stock consideration divided by ROK share price</x:v>
      </x:c>
      <x:c r="K16" s="664"/>
      <x:c r="L16" s="664"/>
      <x:c r="M16" s="664"/>
      <x:c r="N16" s="664"/>
      <x:c r="O16" s="664"/>
    </x:row>
    <x:row r="17" ht="24" customHeight="1">
      <x:c r="A17" s="715" t="str">
        <x:v>ROK share price</x:v>
      </x:c>
      <x:c r="B17" s="737" t="n">
        <x:v>431.45</x:v>
      </x:c>
      <x:c r="C17" s="436" t="str">
        <x:v>$ / share</x:v>
      </x:c>
      <x:c r="D17" s="436" t="str">
        <x:v>S-051</x:v>
      </x:c>
      <x:c r="E17" s="664" t="str">
        <x:v>Aug. 20, 2026 closing price</x:v>
      </x:c>
      <x:c r="F17" s="664"/>
      <x:c r="G17" s="538"/>
      <x:c r="H17" s="715" t="str">
        <x:v>Pro forma gross leverage</x:v>
      </x:c>
      <x:c r="I17" s="743" t="n">
        <x:f>B48</x:f>
        <x:v>2.9252187842861477</x:v>
      </x:c>
      <x:c r="J17" s="664" t="str">
        <x:v>Below the illustrative 3.0x gross-leverage ceiling</x:v>
      </x:c>
      <x:c r="K17" s="664"/>
      <x:c r="L17" s="664"/>
      <x:c r="M17" s="664"/>
      <x:c r="N17" s="664"/>
      <x:c r="O17" s="664"/>
    </x:row>
    <x:row r="18" ht="24" customHeight="1">
      <x:c r="A18" s="715" t="str">
        <x:v>Illustrative close date</x:v>
      </x:c>
      <x:c r="B18" s="738" t="n">
        <x:v>46477</x:v>
      </x:c>
      <x:c r="C18" s="436" t="str">
        <x:v>date</x:v>
      </x:c>
      <x:c r="D18" s="436" t="str">
        <x:v>Analyst assumption</x:v>
      </x:c>
      <x:c r="E18" s="664" t="str">
        <x:v>Allows a realistic regulatory and shareholder approval period</x:v>
      </x:c>
      <x:c r="F18" s="664"/>
      <x:c r="G18" s="538"/>
      <x:c r="H18" s="715" t="str">
        <x:v>ROK cash remaining</x:v>
      </x:c>
      <x:c r="I18" s="741" t="n">
        <x:f>B33</x:f>
        <x:v>211.04479999999967</x:v>
      </x:c>
      <x:c r="J18" s="664" t="str">
        <x:v>Before adding acquired Cognex cash</x:v>
      </x:c>
      <x:c r="K18" s="664"/>
      <x:c r="L18" s="664"/>
      <x:c r="M18" s="664"/>
      <x:c r="N18" s="664"/>
      <x:c r="O18" s="664"/>
    </x:row>
    <x:row r="19" ht="18" customHeight="1">
      <x:c r="A19" s="538"/>
      <x:c r="B19" s="538"/>
      <x:c r="C19" s="538"/>
      <x:c r="D19" s="538"/>
      <x:c r="E19" s="538"/>
      <x:c r="F19" s="538"/>
      <x:c r="G19" s="538"/>
      <x:c r="H19" s="538"/>
      <x:c r="I19" s="538"/>
      <x:c r="J19" s="538"/>
      <x:c r="K19" s="538"/>
      <x:c r="L19" s="538"/>
      <x:c r="M19" s="538"/>
      <x:c r="N19" s="538"/>
      <x:c r="O19" s="538"/>
    </x:row>
    <x:row r="20" ht="18" customHeight="1">
      <x:c r="A20" s="713" t="str">
        <x:v>USES</x:v>
      </x:c>
      <x:c r="B20" s="713"/>
      <x:c r="C20" s="713"/>
      <x:c r="D20" s="713"/>
      <x:c r="E20" s="713"/>
      <x:c r="F20" s="713"/>
      <x:c r="G20" s="538"/>
      <x:c r="H20" s="713" t="str">
        <x:v>SOURCES</x:v>
      </x:c>
      <x:c r="I20" s="713"/>
      <x:c r="J20" s="713"/>
      <x:c r="K20" s="713"/>
      <x:c r="L20" s="713"/>
      <x:c r="M20" s="713"/>
      <x:c r="N20" s="538"/>
      <x:c r="O20" s="538"/>
    </x:row>
    <x:row r="21" ht="18" customHeight="1">
      <x:c r="A21" s="715" t="str">
        <x:v>Cash consideration</x:v>
      </x:c>
      <x:c r="B21" s="744" t="n">
        <x:f>I6*B10</x:f>
        <x:v>4037.3759999999993</x:v>
      </x:c>
      <x:c r="C21" s="664" t="str">
        <x:v>Paid to Cognex shareholders</x:v>
      </x:c>
      <x:c r="D21" s="664"/>
      <x:c r="E21" s="664"/>
      <x:c r="F21" s="664"/>
      <x:c r="G21" s="538"/>
      <x:c r="H21" s="715" t="str">
        <x:v>ROK cash on hand</x:v>
      </x:c>
      <x:c r="I21" s="744" t="n">
        <x:f>B26-SUM(I22:I24)</x:f>
        <x:v>211.95520000000033</x:v>
      </x:c>
      <x:c r="J21" s="664" t="str">
        <x:v>Cash funding is the balancing source; constrained by available cash</x:v>
      </x:c>
      <x:c r="K21" s="664"/>
      <x:c r="L21" s="664"/>
      <x:c r="M21" s="664"/>
      <x:c r="N21" s="538"/>
      <x:c r="O21" s="538"/>
    </x:row>
    <x:row r="22" ht="18" customHeight="1">
      <x:c r="A22" s="715" t="str">
        <x:v>Stock consideration</x:v>
      </x:c>
      <x:c r="B22" s="744" t="n">
        <x:f>I6*B11</x:f>
        <x:v>9420.543999999998</x:v>
      </x:c>
      <x:c r="C22" s="664" t="str">
        <x:v>ROK common shares issued directly to Cognex shareholders</x:v>
      </x:c>
      <x:c r="D22" s="664"/>
      <x:c r="E22" s="664"/>
      <x:c r="F22" s="664"/>
      <x:c r="G22" s="538"/>
      <x:c r="H22" s="715" t="str">
        <x:v>New term loan / bridge</x:v>
      </x:c>
      <x:c r="I22" s="744" t="n">
        <x:f>B14</x:f>
        <x:v>2000</x:v>
      </x:c>
      <x:c r="J22" s="664" t="str">
        <x:v>Illustrative acquisition debt</x:v>
      </x:c>
      <x:c r="K22" s="664"/>
      <x:c r="L22" s="664"/>
      <x:c r="M22" s="664"/>
      <x:c r="N22" s="538"/>
      <x:c r="O22" s="538"/>
    </x:row>
    <x:row r="23" ht="18" customHeight="1">
      <x:c r="A23" s="715" t="str">
        <x:v>Refinance target debt</x:v>
      </x:c>
      <x:c r="B23" s="744" t="n">
        <x:f>I7</x:f>
        <x:v>0</x:v>
      </x:c>
      <x:c r="C23" s="664" t="str">
        <x:v>No funded Cognex debt</x:v>
      </x:c>
      <x:c r="D23" s="664"/>
      <x:c r="E23" s="664"/>
      <x:c r="F23" s="664"/>
      <x:c r="G23" s="538"/>
      <x:c r="H23" s="715" t="str">
        <x:v>New senior notes</x:v>
      </x:c>
      <x:c r="I23" s="744" t="n">
        <x:f>B15</x:f>
        <x:v>2000</x:v>
      </x:c>
      <x:c r="J23" s="664" t="str">
        <x:v>Illustrative permanent debt</x:v>
      </x:c>
      <x:c r="K23" s="664"/>
      <x:c r="L23" s="664"/>
      <x:c r="M23" s="664"/>
      <x:c r="N23" s="538"/>
      <x:c r="O23" s="538"/>
    </x:row>
    <x:row r="24" ht="18" customHeight="1">
      <x:c r="A24" s="715" t="str">
        <x:v>Transaction fees</x:v>
      </x:c>
      <x:c r="B24" s="744" t="n">
        <x:f>I6*B12</x:f>
        <x:v>134.5792</x:v>
      </x:c>
      <x:c r="C24" s="664" t="str">
        <x:v>Estimated transaction expenses</x:v>
      </x:c>
      <x:c r="D24" s="664"/>
      <x:c r="E24" s="664"/>
      <x:c r="F24" s="664"/>
      <x:c r="G24" s="538"/>
      <x:c r="H24" s="715" t="str">
        <x:v>ROK stock issued</x:v>
      </x:c>
      <x:c r="I24" s="744" t="n">
        <x:f>B22</x:f>
        <x:v>9420.543999999998</x:v>
      </x:c>
      <x:c r="J24" s="664" t="str">
        <x:v>Direct stock consideration</x:v>
      </x:c>
      <x:c r="K24" s="664"/>
      <x:c r="L24" s="664"/>
      <x:c r="M24" s="664"/>
      <x:c r="N24" s="538"/>
      <x:c r="O24" s="538"/>
    </x:row>
    <x:row r="25" ht="18" customHeight="1">
      <x:c r="A25" s="715" t="str">
        <x:v>Debt financing fees</x:v>
      </x:c>
      <x:c r="B25" s="744" t="n">
        <x:f>SUM(B14:B15)*B13</x:f>
        <x:v>40</x:v>
      </x:c>
      <x:c r="C25" s="664" t="str">
        <x:v>Upfront financing fees</x:v>
      </x:c>
      <x:c r="D25" s="664"/>
      <x:c r="E25" s="664"/>
      <x:c r="F25" s="664"/>
      <x:c r="G25" s="538"/>
      <x:c r="H25" s="715"/>
      <x:c r="I25" s="744"/>
      <x:c r="J25" s="664"/>
      <x:c r="K25" s="664"/>
      <x:c r="L25" s="664"/>
      <x:c r="M25" s="664"/>
      <x:c r="N25" s="538"/>
      <x:c r="O25" s="538"/>
    </x:row>
    <x:row r="26" ht="18" customHeight="1">
      <x:c r="A26" s="722" t="str">
        <x:v>Total uses</x:v>
      </x:c>
      <x:c r="B26" s="745" t="n">
        <x:f>SUM(B21:B25)</x:f>
        <x:v>13632.499199999998</x:v>
      </x:c>
      <x:c r="C26" s="754" t="str">
        <x:v>Total funding requirement at closing</x:v>
      </x:c>
      <x:c r="D26" s="754"/>
      <x:c r="E26" s="754"/>
      <x:c r="F26" s="754"/>
      <x:c r="G26" s="727"/>
      <x:c r="H26" s="728" t="str">
        <x:v>Total sources</x:v>
      </x:c>
      <x:c r="I26" s="745" t="n">
        <x:f>SUM(I21:I24)</x:f>
        <x:v>13632.499199999998</x:v>
      </x:c>
      <x:c r="J26" s="755" t="str">
        <x:v>Must equal total uses</x:v>
      </x:c>
      <x:c r="K26" s="755"/>
      <x:c r="L26" s="755"/>
      <x:c r="M26" s="755"/>
      <x:c r="N26" s="538"/>
      <x:c r="O26" s="538"/>
    </x:row>
    <x:row r="27" ht="18" customHeight="1">
      <x:c r="A27" s="538"/>
      <x:c r="B27" s="538"/>
      <x:c r="C27" s="538"/>
      <x:c r="D27" s="538"/>
      <x:c r="E27" s="538"/>
      <x:c r="F27" s="538"/>
      <x:c r="G27" s="538"/>
      <x:c r="H27" s="538"/>
      <x:c r="I27" s="746"/>
      <x:c r="J27" s="554"/>
      <x:c r="K27" s="554"/>
      <x:c r="L27" s="554"/>
      <x:c r="M27" s="554"/>
      <x:c r="N27" s="538"/>
      <x:c r="O27" s="538"/>
    </x:row>
    <x:row r="28" ht="18" customHeight="1">
      <x:c r="A28" s="538"/>
      <x:c r="B28" s="538"/>
      <x:c r="C28" s="538"/>
      <x:c r="D28" s="538"/>
      <x:c r="E28" s="538"/>
      <x:c r="F28" s="538"/>
      <x:c r="G28" s="538"/>
      <x:c r="H28" s="436" t="str">
        <x:v>Sources less uses</x:v>
      </x:c>
      <x:c r="I28" s="747" t="n">
        <x:f>I26-B26</x:f>
        <x:v>0</x:v>
      </x:c>
      <x:c r="J28" s="664" t="str">
        <x:v>Required closing check</x:v>
      </x:c>
      <x:c r="K28" s="664"/>
      <x:c r="L28" s="664"/>
      <x:c r="M28" s="664"/>
      <x:c r="N28" s="538"/>
      <x:c r="O28" s="538"/>
    </x:row>
    <x:row r="29" ht="18" customHeight="1">
      <x:c r="A29" s="538"/>
      <x:c r="B29" s="538"/>
      <x:c r="C29" s="538"/>
      <x:c r="D29" s="538"/>
      <x:c r="E29" s="538"/>
      <x:c r="F29" s="538"/>
      <x:c r="G29" s="538"/>
      <x:c r="H29" s="538"/>
      <x:c r="I29" s="538"/>
      <x:c r="J29" s="538"/>
      <x:c r="K29" s="538"/>
      <x:c r="L29" s="538"/>
      <x:c r="M29" s="538"/>
      <x:c r="N29" s="538"/>
      <x:c r="O29" s="538"/>
    </x:row>
    <x:row r="30" ht="18" customHeight="1">
      <x:c r="A30" s="713" t="str">
        <x:v>PRO FORMA LIQUIDITY AND LEVERAGE</x:v>
      </x:c>
      <x:c r="B30" s="713"/>
      <x:c r="C30" s="713"/>
      <x:c r="D30" s="713"/>
      <x:c r="E30" s="713"/>
      <x:c r="F30" s="713"/>
      <x:c r="G30" s="538"/>
      <x:c r="H30" s="713" t="str">
        <x:v>PRO FORMA OWNERSHIP AND DEBT CAPACITY</x:v>
      </x:c>
      <x:c r="I30" s="713"/>
      <x:c r="J30" s="713"/>
      <x:c r="K30" s="713"/>
      <x:c r="L30" s="713"/>
      <x:c r="M30" s="713"/>
      <x:c r="N30" s="713"/>
      <x:c r="O30" s="713"/>
    </x:row>
    <x:row r="31" ht="22" customHeight="1">
      <x:c r="A31" s="715" t="str">
        <x:v>ROK cash before transaction</x:v>
      </x:c>
      <x:c r="B31" s="744" t="n">
        <x:v>423</x:v>
      </x:c>
      <x:c r="C31" s="436" t="str">
        <x:v>S-050</x:v>
      </x:c>
      <x:c r="D31" s="664" t="str">
        <x:v>March 31, 2026 filed cash balance</x:v>
      </x:c>
      <x:c r="E31" s="664"/>
      <x:c r="F31" s="664"/>
      <x:c r="G31" s="538"/>
      <x:c r="H31" s="715" t="str">
        <x:v>Stock consideration</x:v>
      </x:c>
      <x:c r="I31" s="744" t="n">
        <x:f>B22</x:f>
        <x:v>9420.543999999998</x:v>
      </x:c>
      <x:c r="J31" s="664" t="str">
        <x:v>Direct stock consideration</x:v>
      </x:c>
      <x:c r="K31" s="664"/>
      <x:c r="L31" s="664"/>
      <x:c r="M31" s="664"/>
      <x:c r="N31" s="664"/>
      <x:c r="O31" s="664"/>
    </x:row>
    <x:row r="32" ht="22" customHeight="1">
      <x:c r="A32" s="715" t="str">
        <x:v>Less: ROK cash used</x:v>
      </x:c>
      <x:c r="B32" s="744" t="n">
        <x:f>I21</x:f>
        <x:v>211.95520000000033</x:v>
      </x:c>
      <x:c r="C32" s="436" t="str">
        <x:v>Sources &amp; Uses</x:v>
      </x:c>
      <x:c r="D32" s="664" t="str">
        <x:v>Cash source required to balance closing</x:v>
      </x:c>
      <x:c r="E32" s="664"/>
      <x:c r="F32" s="664"/>
      <x:c r="G32" s="538"/>
      <x:c r="H32" s="715" t="str">
        <x:v>ROK share price</x:v>
      </x:c>
      <x:c r="I32" s="663" t="n">
        <x:f>B17</x:f>
        <x:v>431.45</x:v>
      </x:c>
      <x:c r="J32" s="664" t="str">
        <x:v>S-051; Aug. 20, 2026 close</x:v>
      </x:c>
      <x:c r="K32" s="664"/>
      <x:c r="L32" s="664"/>
      <x:c r="M32" s="664"/>
      <x:c r="N32" s="664"/>
      <x:c r="O32" s="664"/>
    </x:row>
    <x:row r="33" ht="22" customHeight="1">
      <x:c r="A33" s="715" t="str">
        <x:v>ROK cash remaining</x:v>
      </x:c>
      <x:c r="B33" s="744" t="n">
        <x:f>B31-B32</x:f>
        <x:v>211.04479999999967</x:v>
      </x:c>
      <x:c r="C33" s="436" t="str">
        <x:v>Calculated</x:v>
      </x:c>
      <x:c r="D33" s="664" t="str">
        <x:v>Maintains more than $100 million of standalone liquidity</x:v>
      </x:c>
      <x:c r="E33" s="664"/>
      <x:c r="F33" s="664"/>
      <x:c r="G33" s="538"/>
      <x:c r="H33" s="715" t="str">
        <x:v>New ROK shares issued</x:v>
      </x:c>
      <x:c r="I33" s="749" t="n">
        <x:f>I31/I32</x:f>
        <x:v>21.834613512573874</x:v>
      </x:c>
      <x:c r="J33" s="664" t="str">
        <x:v>Stock consideration divided by buyer share price</x:v>
      </x:c>
      <x:c r="K33" s="664"/>
      <x:c r="L33" s="664"/>
      <x:c r="M33" s="664"/>
      <x:c r="N33" s="664"/>
      <x:c r="O33" s="664"/>
    </x:row>
    <x:row r="34" ht="22" customHeight="1">
      <x:c r="A34" s="715" t="str">
        <x:v>Add: acquired Cognex cash</x:v>
      </x:c>
      <x:c r="B34" s="744" t="n">
        <x:f>'DCF'!B19</x:f>
        <x:v>755.013</x:v>
      </x:c>
      <x:c r="C34" s="436" t="str">
        <x:v>DCF / S-022</x:v>
      </x:c>
      <x:c r="D34" s="664" t="str">
        <x:v>Retained post-close; not used to fund closing</x:v>
      </x:c>
      <x:c r="E34" s="664"/>
      <x:c r="F34" s="664"/>
      <x:c r="G34" s="538"/>
      <x:c r="H34" s="715" t="str">
        <x:v>ROK FY2026E diluted shares</x:v>
      </x:c>
      <x:c r="I34" s="560" t="n">
        <x:f>'ROK Forecast'!E13</x:f>
        <x:v>112.1952</x:v>
      </x:c>
      <x:c r="J34" s="664" t="str">
        <x:v>Buyer forecast share count</x:v>
      </x:c>
      <x:c r="K34" s="664"/>
      <x:c r="L34" s="664"/>
      <x:c r="M34" s="664"/>
      <x:c r="N34" s="664"/>
      <x:c r="O34" s="664"/>
    </x:row>
    <x:row r="35" ht="22" customHeight="1">
      <x:c r="A35" s="715" t="str">
        <x:v>Pro forma cash</x:v>
      </x:c>
      <x:c r="B35" s="744" t="n">
        <x:f>SUM(B33:B34)</x:f>
        <x:v>966.0577999999997</x:v>
      </x:c>
      <x:c r="C35" s="436" t="str">
        <x:v>Calculated</x:v>
      </x:c>
      <x:c r="D35" s="664" t="str">
        <x:v>Combined cash available after close</x:v>
      </x:c>
      <x:c r="E35" s="664"/>
      <x:c r="F35" s="664"/>
      <x:c r="G35" s="538"/>
      <x:c r="H35" s="715" t="str">
        <x:v>Pro forma diluted shares</x:v>
      </x:c>
      <x:c r="I35" s="749" t="n">
        <x:f>SUM(I33:I34)</x:f>
        <x:v>134.02981351257387</x:v>
      </x:c>
      <x:c r="J35" s="664" t="str">
        <x:v>Existing plus newly issued shares</x:v>
      </x:c>
      <x:c r="K35" s="664"/>
      <x:c r="L35" s="664"/>
      <x:c r="M35" s="664"/>
      <x:c r="N35" s="664"/>
      <x:c r="O35" s="664"/>
    </x:row>
    <x:row r="36" ht="22" customHeight="1">
      <x:c r="A36" s="715"/>
      <x:c r="B36" s="744"/>
      <x:c r="C36" s="436"/>
      <x:c r="D36" s="664"/>
      <x:c r="E36" s="664"/>
      <x:c r="F36" s="664"/>
      <x:c r="G36" s="538"/>
      <x:c r="H36" s="715" t="str">
        <x:v>Cognex holders ownership</x:v>
      </x:c>
      <x:c r="I36" s="750" t="n">
        <x:f>I33/I35</x:f>
        <x:v>0.1629086315972937</x:v>
      </x:c>
      <x:c r="J36" s="664" t="str">
        <x:v>Target holders as percent of pro forma shares</x:v>
      </x:c>
      <x:c r="K36" s="664"/>
      <x:c r="L36" s="664"/>
      <x:c r="M36" s="664"/>
      <x:c r="N36" s="664"/>
      <x:c r="O36" s="664"/>
    </x:row>
    <x:row r="37" ht="22" customHeight="1">
      <x:c r="A37" s="715" t="str">
        <x:v>ROK existing debt</x:v>
      </x:c>
      <x:c r="B37" s="744" t="n">
        <x:f>SUM(B38:B40)</x:f>
        <x:v>3691</x:v>
      </x:c>
      <x:c r="C37" s="436" t="str">
        <x:v>S-050</x:v>
      </x:c>
      <x:c r="D37" s="664" t="str">
        <x:v>March 31, 2026 funded debt</x:v>
      </x:c>
      <x:c r="E37" s="664"/>
      <x:c r="F37" s="664"/>
      <x:c r="G37" s="538"/>
      <x:c r="H37" s="715" t="str">
        <x:v>Existing ROK holders ownership</x:v>
      </x:c>
      <x:c r="I37" s="750" t="n">
        <x:f>I34/I35</x:f>
        <x:v>0.8370913684027064</x:v>
      </x:c>
      <x:c r="J37" s="664" t="str">
        <x:v>Legacy holders as percent of pro forma shares</x:v>
      </x:c>
      <x:c r="K37" s="664"/>
      <x:c r="L37" s="664"/>
      <x:c r="M37" s="664"/>
      <x:c r="N37" s="664"/>
      <x:c r="O37" s="664"/>
    </x:row>
    <x:row r="38" ht="22" customHeight="1">
      <x:c r="A38" s="715" t="str">
        <x:v>Short-term debt</x:v>
      </x:c>
      <x:c r="B38" s="744" t="n">
        <x:v>1118</x:v>
      </x:c>
      <x:c r="C38" s="436" t="str">
        <x:v>S-050</x:v>
      </x:c>
      <x:c r="D38" s="664" t="str">
        <x:v>Commercial paper and other short-term debt</x:v>
      </x:c>
      <x:c r="E38" s="664"/>
      <x:c r="F38" s="664"/>
      <x:c r="G38" s="538"/>
      <x:c r="H38" s="715"/>
      <x:c r="I38" s="436"/>
      <x:c r="J38" s="664"/>
      <x:c r="K38" s="664"/>
      <x:c r="L38" s="664"/>
      <x:c r="M38" s="664"/>
      <x:c r="N38" s="664"/>
      <x:c r="O38" s="664"/>
    </x:row>
    <x:row r="39" ht="22" customHeight="1">
      <x:c r="A39" s="715" t="str">
        <x:v>Current portion of long-term debt</x:v>
      </x:c>
      <x:c r="B39" s="744" t="n">
        <x:v>2</x:v>
      </x:c>
      <x:c r="C39" s="436" t="str">
        <x:v>S-050</x:v>
      </x:c>
      <x:c r="D39" s="664" t="str">
        <x:v>Current portion</x:v>
      </x:c>
      <x:c r="E39" s="664"/>
      <x:c r="F39" s="664"/>
      <x:c r="G39" s="538"/>
      <x:c r="H39" s="715" t="str">
        <x:v>Illustrative maximum gross leverage</x:v>
      </x:c>
      <x:c r="I39" s="751" t="n">
        <x:v>3</x:v>
      </x:c>
      <x:c r="J39" s="664" t="str">
        <x:v>Analyst assumption for financing discipline</x:v>
      </x:c>
      <x:c r="K39" s="664"/>
      <x:c r="L39" s="664"/>
      <x:c r="M39" s="664"/>
      <x:c r="N39" s="664"/>
      <x:c r="O39" s="664"/>
    </x:row>
    <x:row r="40" ht="22" customHeight="1">
      <x:c r="A40" s="715" t="str">
        <x:v>Long-term debt</x:v>
      </x:c>
      <x:c r="B40" s="744" t="n">
        <x:v>2571</x:v>
      </x:c>
      <x:c r="C40" s="436" t="str">
        <x:v>S-050</x:v>
      </x:c>
      <x:c r="D40" s="664" t="str">
        <x:v>Long-term notes</x:v>
      </x:c>
      <x:c r="E40" s="664"/>
      <x:c r="F40" s="664"/>
      <x:c r="G40" s="538"/>
      <x:c r="H40" s="715" t="str">
        <x:v>Maximum pro forma gross debt</x:v>
      </x:c>
      <x:c r="I40" s="744" t="n">
        <x:f>I39*B47</x:f>
        <x:v>7887.61515</x:v>
      </x:c>
      <x:c r="J40" s="664" t="str">
        <x:v>Gross leverage ceiling × pre-synergy EBITDA</x:v>
      </x:c>
      <x:c r="K40" s="664"/>
      <x:c r="L40" s="664"/>
      <x:c r="M40" s="664"/>
      <x:c r="N40" s="664"/>
      <x:c r="O40" s="664"/>
    </x:row>
    <x:row r="41" ht="22" customHeight="1">
      <x:c r="A41" s="715" t="str">
        <x:v>Add: new debt</x:v>
      </x:c>
      <x:c r="B41" s="744" t="n">
        <x:f>SUM(B14:B15)</x:f>
        <x:v>4000</x:v>
      </x:c>
      <x:c r="C41" s="436" t="str">
        <x:v>Transaction assumptions</x:v>
      </x:c>
      <x:c r="D41" s="664" t="str">
        <x:v>Selected acquisition debt</x:v>
      </x:c>
      <x:c r="E41" s="664"/>
      <x:c r="F41" s="664"/>
      <x:c r="G41" s="538"/>
      <x:c r="H41" s="715" t="str">
        <x:v>Implied new-debt capacity</x:v>
      </x:c>
      <x:c r="I41" s="744" t="n">
        <x:f>I40-B37</x:f>
        <x:v>4196.61515</x:v>
      </x:c>
      <x:c r="J41" s="664" t="str">
        <x:v>Maximum debt less existing debt</x:v>
      </x:c>
      <x:c r="K41" s="664"/>
      <x:c r="L41" s="664"/>
      <x:c r="M41" s="664"/>
      <x:c r="N41" s="664"/>
      <x:c r="O41" s="664"/>
    </x:row>
    <x:row r="42" ht="22" customHeight="1">
      <x:c r="A42" s="715" t="str">
        <x:v>Pro forma gross debt</x:v>
      </x:c>
      <x:c r="B42" s="744" t="n">
        <x:f>SUM(B37,B41)</x:f>
        <x:v>7691</x:v>
      </x:c>
      <x:c r="C42" s="436" t="str">
        <x:v>Calculated</x:v>
      </x:c>
      <x:c r="D42" s="664" t="str">
        <x:v>Existing plus new debt</x:v>
      </x:c>
      <x:c r="E42" s="664"/>
      <x:c r="F42" s="664"/>
      <x:c r="G42" s="538"/>
      <x:c r="H42" s="715" t="str">
        <x:v>Selected new debt</x:v>
      </x:c>
      <x:c r="I42" s="744" t="n">
        <x:f>B41</x:f>
        <x:v>4000</x:v>
      </x:c>
      <x:c r="J42" s="664" t="str">
        <x:v>Term loan plus senior notes</x:v>
      </x:c>
      <x:c r="K42" s="664"/>
      <x:c r="L42" s="664"/>
      <x:c r="M42" s="664"/>
      <x:c r="N42" s="664"/>
      <x:c r="O42" s="664"/>
    </x:row>
    <x:row r="43" ht="22" customHeight="1">
      <x:c r="A43" s="715" t="str">
        <x:v>Pro forma net debt</x:v>
      </x:c>
      <x:c r="B43" s="744" t="n">
        <x:f>B42-B35</x:f>
        <x:v>6724.9422</x:v>
      </x:c>
      <x:c r="C43" s="436" t="str">
        <x:v>Calculated</x:v>
      </x:c>
      <x:c r="D43" s="664" t="str">
        <x:v>Gross debt less combined cash</x:v>
      </x:c>
      <x:c r="E43" s="664"/>
      <x:c r="F43" s="664"/>
      <x:c r="G43" s="538"/>
      <x:c r="H43" s="715" t="str">
        <x:v>Unused debt capacity</x:v>
      </x:c>
      <x:c r="I43" s="744" t="n">
        <x:f>I41-I42</x:f>
        <x:v>196.61514999999963</x:v>
      </x:c>
      <x:c r="J43" s="664" t="str">
        <x:v>Debt capacity retained below ceiling</x:v>
      </x:c>
      <x:c r="K43" s="664"/>
      <x:c r="L43" s="664"/>
      <x:c r="M43" s="664"/>
      <x:c r="N43" s="664"/>
      <x:c r="O43" s="664"/>
    </x:row>
    <x:row r="44" ht="22" customHeight="1">
      <x:c r="A44" s="715"/>
      <x:c r="B44" s="744"/>
      <x:c r="C44" s="436"/>
      <x:c r="D44" s="664"/>
      <x:c r="E44" s="664"/>
      <x:c r="F44" s="664"/>
      <x:c r="G44" s="538"/>
      <x:c r="H44" s="715" t="str">
        <x:v>Minimum ROK cash balance</x:v>
      </x:c>
      <x:c r="I44" s="752" t="n">
        <x:v>100</x:v>
      </x:c>
      <x:c r="J44" s="664" t="str">
        <x:v>Illustrative standalone liquidity floor</x:v>
      </x:c>
      <x:c r="K44" s="664"/>
      <x:c r="L44" s="664"/>
      <x:c r="M44" s="664"/>
      <x:c r="N44" s="664"/>
      <x:c r="O44" s="664"/>
    </x:row>
    <x:row r="45" ht="22" customHeight="1">
      <x:c r="A45" s="715" t="str">
        <x:v>ROK FY2026E EBITDA proxy</x:v>
      </x:c>
      <x:c r="B45" s="744" t="n">
        <x:f>'ROK Forecast'!E10+'ROK Historical'!F25*('ROK Forecast'!E7/'ROK Forecast'!D7)</x:f>
        <x:v>2298.60505</x:v>
      </x:c>
      <x:c r="C45" s="436" t="str">
        <x:v>ROK Forecast / historical D&amp;A proxy</x:v>
      </x:c>
      <x:c r="D45" s="664" t="str">
        <x:v>Enterprise operating profit plus scaled FY2025 D&amp;A</x:v>
      </x:c>
      <x:c r="E45" s="664"/>
      <x:c r="F45" s="664"/>
      <x:c r="G45" s="538"/>
      <x:c r="H45" s="715"/>
      <x:c r="I45" s="436"/>
      <x:c r="J45" s="664"/>
      <x:c r="K45" s="664"/>
      <x:c r="L45" s="664"/>
      <x:c r="M45" s="664"/>
      <x:c r="N45" s="664"/>
      <x:c r="O45" s="664"/>
    </x:row>
    <x:row r="46" ht="22" customHeight="1">
      <x:c r="A46" s="715" t="str">
        <x:v>Cognex FY2026E EBITDA</x:v>
      </x:c>
      <x:c r="B46" s="744" t="n">
        <x:f>'CGNX Operating Model'!E32</x:f>
        <x:v>330.59999999999997</x:v>
      </x:c>
      <x:c r="C46" s="436" t="str">
        <x:v>CGNX Operating Model</x:v>
      </x:c>
      <x:c r="D46" s="664" t="str">
        <x:v>Standalone target EBITDA</x:v>
      </x:c>
      <x:c r="E46" s="664"/>
      <x:c r="F46" s="664"/>
      <x:c r="G46" s="538"/>
      <x:c r="H46" s="538"/>
      <x:c r="I46" s="538"/>
      <x:c r="J46" s="538"/>
      <x:c r="K46" s="538"/>
      <x:c r="L46" s="538"/>
      <x:c r="M46" s="538"/>
      <x:c r="N46" s="538"/>
      <x:c r="O46" s="538"/>
    </x:row>
    <x:row r="47" ht="22" customHeight="1">
      <x:c r="A47" s="715" t="str">
        <x:v>Pro forma EBITDA — pre-synergy</x:v>
      </x:c>
      <x:c r="B47" s="744" t="n">
        <x:f>SUM(B45:B46)</x:f>
        <x:v>2629.20505</x:v>
      </x:c>
      <x:c r="C47" s="436" t="str">
        <x:v>Calculated</x:v>
      </x:c>
      <x:c r="D47" s="664" t="str">
        <x:v>Before cost or revenue synergies</x:v>
      </x:c>
      <x:c r="E47" s="664"/>
      <x:c r="F47" s="664"/>
      <x:c r="G47" s="538"/>
      <x:c r="H47" s="538"/>
      <x:c r="I47" s="538"/>
      <x:c r="J47" s="538"/>
      <x:c r="K47" s="538"/>
      <x:c r="L47" s="538"/>
      <x:c r="M47" s="538"/>
      <x:c r="N47" s="538"/>
      <x:c r="O47" s="538"/>
    </x:row>
    <x:row r="48" ht="22" customHeight="1">
      <x:c r="A48" s="715" t="str">
        <x:v>Pro forma gross leverage</x:v>
      </x:c>
      <x:c r="B48" s="748" t="n">
        <x:f>B42/B47</x:f>
        <x:v>2.9252187842861477</x:v>
      </x:c>
      <x:c r="C48" s="436" t="str">
        <x:v>Calculated</x:v>
      </x:c>
      <x:c r="D48" s="664" t="str">
        <x:v>Gross debt divided by pre-synergy EBITDA</x:v>
      </x:c>
      <x:c r="E48" s="664"/>
      <x:c r="F48" s="664"/>
      <x:c r="G48" s="538"/>
      <x:c r="H48" s="538"/>
      <x:c r="I48" s="538"/>
      <x:c r="J48" s="538"/>
      <x:c r="K48" s="538"/>
      <x:c r="L48" s="538"/>
      <x:c r="M48" s="538"/>
      <x:c r="N48" s="538"/>
      <x:c r="O48" s="538"/>
    </x:row>
    <x:row r="49" ht="22" customHeight="1">
      <x:c r="A49" s="715" t="str">
        <x:v>Pro forma net leverage</x:v>
      </x:c>
      <x:c r="B49" s="748" t="n">
        <x:f>B43/B47</x:f>
        <x:v>2.557785365580368</x:v>
      </x:c>
      <x:c r="C49" s="436" t="str">
        <x:v>Calculated</x:v>
      </x:c>
      <x:c r="D49" s="664" t="str">
        <x:v>Net debt divided by pre-synergy EBITDA</x:v>
      </x:c>
      <x:c r="E49" s="664"/>
      <x:c r="F49" s="664"/>
      <x:c r="G49" s="538"/>
      <x:c r="H49" s="538"/>
      <x:c r="I49" s="538"/>
      <x:c r="J49" s="538"/>
      <x:c r="K49" s="538"/>
      <x:c r="L49" s="538"/>
      <x:c r="M49" s="538"/>
      <x:c r="N49" s="538"/>
      <x:c r="O49" s="538"/>
    </x:row>
    <x:row r="50" ht="22" customHeight="1">
      <x:c r="A50" s="715" t="str">
        <x:v>ROK FY2025 net interest expense</x:v>
      </x:c>
      <x:c r="B50" s="744" t="n">
        <x:v>143</x:v>
      </x:c>
      <x:c r="C50" s="436" t="str">
        <x:v>S-017</x:v>
      </x:c>
      <x:c r="D50" s="664" t="str">
        <x:v>Latest audited annual reference</x:v>
      </x:c>
      <x:c r="E50" s="664"/>
      <x:c r="F50" s="664"/>
      <x:c r="G50" s="538"/>
      <x:c r="H50" s="538"/>
      <x:c r="I50" s="538"/>
      <x:c r="J50" s="538"/>
      <x:c r="K50" s="538"/>
      <x:c r="L50" s="538"/>
      <x:c r="M50" s="538"/>
      <x:c r="N50" s="538"/>
      <x:c r="O50" s="538"/>
    </x:row>
    <x:row r="51" ht="22" customHeight="1">
      <x:c r="A51" s="715" t="str">
        <x:v>New annual interest expense</x:v>
      </x:c>
      <x:c r="B51" s="744" t="n">
        <x:f>B41*B16</x:f>
        <x:v>240</x:v>
      </x:c>
      <x:c r="C51" s="436" t="str">
        <x:v>Calculated</x:v>
      </x:c>
      <x:c r="D51" s="664" t="str">
        <x:v>New debt × assumed interest rate</x:v>
      </x:c>
      <x:c r="E51" s="664"/>
      <x:c r="F51" s="664"/>
      <x:c r="G51" s="538"/>
      <x:c r="H51" s="538"/>
      <x:c r="I51" s="538"/>
      <x:c r="J51" s="538"/>
      <x:c r="K51" s="538"/>
      <x:c r="L51" s="538"/>
      <x:c r="M51" s="538"/>
      <x:c r="N51" s="538"/>
      <x:c r="O51" s="538"/>
    </x:row>
    <x:row r="52" ht="22" customHeight="1">
      <x:c r="A52" s="715" t="str">
        <x:v>Pro forma interest expense</x:v>
      </x:c>
      <x:c r="B52" s="744" t="n">
        <x:f>SUM(B50:B51)</x:f>
        <x:v>383</x:v>
      </x:c>
      <x:c r="C52" s="436" t="str">
        <x:v>Calculated</x:v>
      </x:c>
      <x:c r="D52" s="664" t="str">
        <x:v>Existing plus new interest</x:v>
      </x:c>
      <x:c r="E52" s="664"/>
      <x:c r="F52" s="664"/>
      <x:c r="G52" s="538"/>
      <x:c r="H52" s="538"/>
      <x:c r="I52" s="538"/>
      <x:c r="J52" s="538"/>
      <x:c r="K52" s="538"/>
      <x:c r="L52" s="538"/>
      <x:c r="M52" s="538"/>
      <x:c r="N52" s="538"/>
      <x:c r="O52" s="538"/>
    </x:row>
    <x:row r="53" ht="22" customHeight="1">
      <x:c r="A53" s="715" t="str">
        <x:v>EBITDA / interest coverage</x:v>
      </x:c>
      <x:c r="B53" s="748" t="n">
        <x:f>B47/B52</x:f>
        <x:v>6.864765143603133</x:v>
      </x:c>
      <x:c r="C53" s="436" t="str">
        <x:v>S-050 covenant reference</x:v>
      </x:c>
      <x:c r="D53" s="664" t="str">
        <x:v>Comfortably exceeds the 3.0x minimum interest-coverage covenant</x:v>
      </x:c>
      <x:c r="E53" s="664"/>
      <x:c r="F53" s="664"/>
      <x:c r="G53" s="538"/>
      <x:c r="H53" s="538"/>
      <x:c r="I53" s="538"/>
      <x:c r="J53" s="538"/>
      <x:c r="K53" s="538"/>
      <x:c r="L53" s="538"/>
      <x:c r="M53" s="538"/>
      <x:c r="N53" s="538"/>
      <x:c r="O53" s="538"/>
    </x:row>
    <x:row r="54" ht="18" customHeight="1">
      <x:c r="A54" s="538"/>
      <x:c r="B54" s="538"/>
      <x:c r="C54" s="538"/>
      <x:c r="D54" s="538"/>
      <x:c r="E54" s="538"/>
      <x:c r="F54" s="538"/>
      <x:c r="G54" s="538"/>
      <x:c r="H54" s="538"/>
      <x:c r="I54" s="538"/>
      <x:c r="J54" s="538"/>
      <x:c r="K54" s="538"/>
      <x:c r="L54" s="538"/>
      <x:c r="M54" s="538"/>
      <x:c r="N54" s="538"/>
      <x:c r="O54" s="538"/>
    </x:row>
    <x:row r="55" ht="18" customHeight="1">
      <x:c r="A55" s="713" t="str">
        <x:v>ANALYST INTERPRETATION</x:v>
      </x:c>
      <x:c r="B55" s="713"/>
      <x:c r="C55" s="713"/>
      <x:c r="D55" s="713"/>
      <x:c r="E55" s="713"/>
      <x:c r="F55" s="713"/>
      <x:c r="G55" s="713"/>
      <x:c r="H55" s="713"/>
      <x:c r="I55" s="713"/>
      <x:c r="J55" s="713"/>
      <x:c r="K55" s="713"/>
      <x:c r="L55" s="713"/>
      <x:c r="M55" s="713"/>
      <x:c r="N55" s="713"/>
      <x:c r="O55" s="713"/>
    </x:row>
    <x:row r="56" ht="28" customHeight="1">
      <x:c r="A56" s="731" t="str">
        <x:v>A 70% stock consideration mix is intentionally stock-heavy because the $13.5 billion equity purchase price is large relative to Rockwell’s existing balance sheet. Stock preserves liquidity and limits pro forma gross leverage to approximately 2.9x before synergies.</x:v>
      </x:c>
      <x:c r="B56" s="731"/>
      <x:c r="C56" s="731"/>
      <x:c r="D56" s="731"/>
      <x:c r="E56" s="731"/>
      <x:c r="F56" s="731"/>
      <x:c r="G56" s="731"/>
      <x:c r="H56" s="731"/>
      <x:c r="I56" s="731"/>
      <x:c r="J56" s="731"/>
      <x:c r="K56" s="731"/>
      <x:c r="L56" s="731"/>
      <x:c r="M56" s="731"/>
      <x:c r="N56" s="731"/>
      <x:c r="O56" s="731"/>
    </x:row>
    <x:row r="57" ht="28" customHeight="1">
      <x:c r="A57" s="731" t="str">
        <x:v>The model assumes $4.0 billion of new debt split between a bridge / term loan and senior notes. Target cash is acquired and included in post-close liquidity, but is not treated as a source that funds the purchase at closing.</x:v>
      </x:c>
      <x:c r="B57" s="731"/>
      <x:c r="C57" s="731"/>
      <x:c r="D57" s="731"/>
      <x:c r="E57" s="731"/>
      <x:c r="F57" s="731"/>
      <x:c r="G57" s="731"/>
      <x:c r="H57" s="731"/>
      <x:c r="I57" s="731"/>
      <x:c r="J57" s="731"/>
      <x:c r="K57" s="731"/>
      <x:c r="L57" s="731"/>
      <x:c r="M57" s="731"/>
      <x:c r="N57" s="731"/>
      <x:c r="O57" s="731"/>
    </x:row>
    <x:row r="58" ht="28" customHeight="1">
      <x:c r="A58" s="732" t="str">
        <x:v>This financing case is preliminary. Purchase accounting and accretion/dilution will test whether the $80 offer remains economically supportable after incremental interest, stock issuance, intangible amortization, and synergies.</x:v>
      </x:c>
      <x:c r="B58" s="732"/>
      <x:c r="C58" s="732"/>
      <x:c r="D58" s="732"/>
      <x:c r="E58" s="732"/>
      <x:c r="F58" s="732"/>
      <x:c r="G58" s="732"/>
      <x:c r="H58" s="732"/>
      <x:c r="I58" s="732"/>
      <x:c r="J58" s="732"/>
      <x:c r="K58" s="732"/>
      <x:c r="L58" s="732"/>
      <x:c r="M58" s="732"/>
      <x:c r="N58" s="732"/>
      <x:c r="O58" s="732"/>
    </x:row>
  </x:sheetData>
  <x:mergeCells>
    <x:mergeCell ref="A1:O1"/>
    <x:mergeCell ref="A2:O2"/>
    <x:mergeCell ref="B3:O3"/>
    <x:mergeCell ref="A5:F5"/>
    <x:mergeCell ref="E6:F6"/>
    <x:mergeCell ref="E7:F7"/>
    <x:mergeCell ref="E8:F8"/>
    <x:mergeCell ref="E9:F9"/>
    <x:mergeCell ref="E10:F10"/>
    <x:mergeCell ref="E11:F11"/>
    <x:mergeCell ref="E12:F12"/>
    <x:mergeCell ref="E13:F13"/>
    <x:mergeCell ref="E14:F14"/>
    <x:mergeCell ref="E15:F15"/>
    <x:mergeCell ref="E16:F16"/>
    <x:mergeCell ref="E17:F17"/>
    <x:mergeCell ref="E18:F18"/>
    <x:mergeCell ref="H5:O5"/>
    <x:mergeCell ref="J6:O6"/>
    <x:mergeCell ref="J7:O7"/>
    <x:mergeCell ref="J8:O8"/>
    <x:mergeCell ref="J9:O9"/>
    <x:mergeCell ref="J10:O10"/>
    <x:mergeCell ref="J11:O11"/>
    <x:mergeCell ref="J12:O12"/>
    <x:mergeCell ref="H14:O14"/>
    <x:mergeCell ref="J15:O15"/>
    <x:mergeCell ref="J16:O16"/>
    <x:mergeCell ref="J17:O17"/>
    <x:mergeCell ref="J18:O18"/>
    <x:mergeCell ref="A20:F20"/>
    <x:mergeCell ref="H20:M20"/>
    <x:mergeCell ref="C21:F21"/>
    <x:mergeCell ref="C22:F22"/>
    <x:mergeCell ref="C23:F23"/>
    <x:mergeCell ref="C24:F24"/>
    <x:mergeCell ref="C25:F25"/>
    <x:mergeCell ref="C26:F26"/>
    <x:mergeCell ref="J21:M21"/>
    <x:mergeCell ref="J22:M22"/>
    <x:mergeCell ref="J23:M23"/>
    <x:mergeCell ref="J24:M24"/>
    <x:mergeCell ref="J25:M25"/>
    <x:mergeCell ref="J26:M26"/>
    <x:mergeCell ref="J28:M28"/>
    <x:mergeCell ref="A30:F30"/>
    <x:mergeCell ref="D31:F31"/>
    <x:mergeCell ref="D32:F32"/>
    <x:mergeCell ref="D33:F33"/>
    <x:mergeCell ref="D34:F34"/>
    <x:mergeCell ref="D35:F35"/>
    <x:mergeCell ref="D36:F36"/>
    <x:mergeCell ref="D37:F37"/>
    <x:mergeCell ref="D38:F38"/>
    <x:mergeCell ref="D39:F39"/>
    <x:mergeCell ref="D40:F40"/>
    <x:mergeCell ref="D41:F41"/>
    <x:mergeCell ref="D42:F42"/>
    <x:mergeCell ref="D43:F43"/>
    <x:mergeCell ref="D44:F44"/>
    <x:mergeCell ref="D45:F45"/>
    <x:mergeCell ref="D46:F46"/>
    <x:mergeCell ref="D47:F47"/>
    <x:mergeCell ref="D48:F48"/>
    <x:mergeCell ref="D49:F49"/>
    <x:mergeCell ref="D50:F50"/>
    <x:mergeCell ref="D51:F51"/>
    <x:mergeCell ref="D52:F52"/>
    <x:mergeCell ref="D53:F53"/>
    <x:mergeCell ref="H30:O30"/>
    <x:mergeCell ref="J31:O31"/>
    <x:mergeCell ref="J32:O32"/>
    <x:mergeCell ref="J33:O33"/>
    <x:mergeCell ref="J34:O34"/>
    <x:mergeCell ref="J35:O35"/>
    <x:mergeCell ref="J36:O36"/>
    <x:mergeCell ref="J37:O37"/>
    <x:mergeCell ref="J38:O38"/>
    <x:mergeCell ref="J39:O39"/>
    <x:mergeCell ref="J40:O40"/>
    <x:mergeCell ref="J41:O41"/>
    <x:mergeCell ref="J42:O42"/>
    <x:mergeCell ref="J43:O43"/>
    <x:mergeCell ref="J44:O44"/>
    <x:mergeCell ref="J45:O45"/>
    <x:mergeCell ref="A55:O55"/>
    <x:mergeCell ref="A56:O56"/>
    <x:mergeCell ref="A57:O57"/>
    <x:mergeCell ref="A58:O58"/>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31" hidden="0" customWidth="1"/>
    <x:col min="2" max="2" width="16" hidden="0" customWidth="1"/>
    <x:col min="3" max="3" width="14" hidden="0" customWidth="1"/>
    <x:col min="4" max="4" width="13" hidden="0" customWidth="1"/>
    <x:col min="5" max="5" width="14" hidden="0" customWidth="1"/>
    <x:col min="6" max="6" width="34" hidden="0" customWidth="1"/>
    <x:col min="7" max="7" width="24" hidden="0" customWidth="1"/>
    <x:col min="8" max="8" width="3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ht="28" customHeight="1">
      <x:c r="A1" s="771" t="str">
        <x:v>Purchase Accounting</x:v>
      </x:c>
      <x:c r="B1" s="771"/>
      <x:c r="C1" s="771"/>
      <x:c r="D1" s="771"/>
      <x:c r="E1" s="771"/>
      <x:c r="F1" s="771"/>
      <x:c r="G1" s="771"/>
      <x:c r="H1" s="771"/>
      <x:c r="I1" s="771"/>
      <x:c r="J1" s="771"/>
      <x:c r="K1" s="771"/>
      <x:c r="L1" s="771"/>
      <x:c r="M1" s="771"/>
      <x:c r="N1" s="771"/>
      <x:c r="O1" s="771"/>
    </x:row>
    <x:row r="2" ht="18" customHeight="1">
      <x:c r="A2" s="773" t="str">
        <x:v>Illustrative purchase-price allocation, new goodwill, deferred taxes, and incremental non-cash expense | USD millions</x:v>
      </x:c>
      <x:c r="B2" s="773"/>
      <x:c r="C2" s="773"/>
      <x:c r="D2" s="773"/>
      <x:c r="E2" s="773"/>
      <x:c r="F2" s="773"/>
      <x:c r="G2" s="773"/>
      <x:c r="H2" s="773"/>
      <x:c r="I2" s="773"/>
      <x:c r="J2" s="773"/>
      <x:c r="K2" s="773"/>
      <x:c r="L2" s="773"/>
      <x:c r="M2" s="773"/>
      <x:c r="N2" s="773"/>
      <x:c r="O2" s="773"/>
    </x:row>
    <x:row r="3" ht="18" customHeight="1">
      <x:c r="A3" s="432" t="str">
        <x:v>Status</x:v>
      </x:c>
      <x:c r="B3" s="775" t="str">
        <x:v>Complete — preliminary allocation for merger-model purposes; third-party valuation work would be required at closing</x:v>
      </x:c>
      <x:c r="C3" s="775"/>
      <x:c r="D3" s="775"/>
      <x:c r="E3" s="775"/>
      <x:c r="F3" s="775"/>
      <x:c r="G3" s="775"/>
      <x:c r="H3" s="775"/>
      <x:c r="I3" s="775"/>
      <x:c r="J3" s="775"/>
      <x:c r="K3" s="775"/>
      <x:c r="L3" s="775"/>
      <x:c r="M3" s="775"/>
      <x:c r="N3" s="775"/>
      <x:c r="O3" s="775"/>
    </x:row>
    <x:row r="4" ht="18" customHeight="1">
      <x:c r="A4" s="538"/>
      <x:c r="B4" s="538"/>
      <x:c r="C4" s="538"/>
      <x:c r="D4" s="538"/>
      <x:c r="E4" s="538"/>
      <x:c r="F4" s="538"/>
      <x:c r="G4" s="538"/>
      <x:c r="H4" s="538"/>
      <x:c r="I4" s="538"/>
      <x:c r="J4" s="538"/>
      <x:c r="K4" s="538"/>
      <x:c r="L4" s="538"/>
      <x:c r="M4" s="538"/>
      <x:c r="N4" s="538"/>
      <x:c r="O4" s="538"/>
    </x:row>
    <x:row r="5" ht="18" customHeight="1">
      <x:c r="A5" s="777" t="str">
        <x:v>PURCHASE ACCOUNTING INPUTS</x:v>
      </x:c>
      <x:c r="B5" s="777"/>
      <x:c r="C5" s="777"/>
      <x:c r="D5" s="777"/>
      <x:c r="E5" s="777"/>
      <x:c r="F5" s="777"/>
      <x:c r="G5" s="538"/>
      <x:c r="H5" s="777" t="str">
        <x:v>PURCHASE-PRICE ALLOCATION BRIDGE</x:v>
      </x:c>
      <x:c r="I5" s="777"/>
      <x:c r="J5" s="777"/>
      <x:c r="K5" s="777"/>
      <x:c r="L5" s="777"/>
      <x:c r="M5" s="777"/>
      <x:c r="N5" s="777"/>
      <x:c r="O5" s="777"/>
    </x:row>
    <x:row r="6" ht="24" customHeight="1">
      <x:c r="A6" s="779" t="str">
        <x:v>Purchase consideration</x:v>
      </x:c>
      <x:c r="B6" s="794" t="n">
        <x:f>'Sources &amp; Uses'!I6</x:f>
        <x:v>13457.919999999998</x:v>
      </x:c>
      <x:c r="C6" s="436" t="str">
        <x:v>$mm</x:v>
      </x:c>
      <x:c r="D6" s="436" t="str">
        <x:v>Sources &amp; Uses</x:v>
      </x:c>
      <x:c r="E6" s="664" t="str">
        <x:v>Equity value transferred to Cognex shareholders; transaction fees are expensed separately</x:v>
      </x:c>
      <x:c r="F6" s="664"/>
      <x:c r="G6" s="538"/>
      <x:c r="H6" s="779" t="str">
        <x:v>Purchase consideration</x:v>
      </x:c>
      <x:c r="I6" s="794" t="n">
        <x:f>B6</x:f>
        <x:v>13457.919999999998</x:v>
      </x:c>
      <x:c r="J6" s="664" t="str">
        <x:v>Cash and stock consideration paid for Cognex equity</x:v>
      </x:c>
      <x:c r="K6" s="664"/>
      <x:c r="L6" s="664"/>
      <x:c r="M6" s="664"/>
      <x:c r="N6" s="664"/>
      <x:c r="O6" s="664"/>
    </x:row>
    <x:row r="7" ht="24" customHeight="1">
      <x:c r="A7" s="779" t="str">
        <x:v>Target shareholders’ equity</x:v>
      </x:c>
      <x:c r="B7" s="744" t="n">
        <x:v>1629.555</x:v>
      </x:c>
      <x:c r="C7" s="436" t="str">
        <x:v>$mm</x:v>
      </x:c>
      <x:c r="D7" s="436" t="str">
        <x:v>S-052</x:v>
      </x:c>
      <x:c r="E7" s="664" t="str">
        <x:v>Unaudited July 5, 2026 balance-sheet carrying value</x:v>
      </x:c>
      <x:c r="F7" s="664"/>
      <x:c r="G7" s="538"/>
      <x:c r="H7" s="779" t="str">
        <x:v>Tangible book value</x:v>
      </x:c>
      <x:c r="I7" s="744" t="n">
        <x:f>B10</x:f>
        <x:v>1183.7060000000001</x:v>
      </x:c>
      <x:c r="J7" s="664" t="str">
        <x:v>Target book equity excluding historical goodwill and intangibles</x:v>
      </x:c>
      <x:c r="K7" s="664"/>
      <x:c r="L7" s="664"/>
      <x:c r="M7" s="664"/>
      <x:c r="N7" s="664"/>
      <x:c r="O7" s="664"/>
    </x:row>
    <x:row r="8" ht="24" customHeight="1">
      <x:c r="A8" s="779" t="str">
        <x:v>Less: existing goodwill</x:v>
      </x:c>
      <x:c r="B8" s="744" t="n">
        <x:v>381.385</x:v>
      </x:c>
      <x:c r="C8" s="436" t="str">
        <x:v>$mm</x:v>
      </x:c>
      <x:c r="D8" s="436" t="str">
        <x:v>S-052</x:v>
      </x:c>
      <x:c r="E8" s="664" t="str">
        <x:v>Historical acquisition goodwill is removed before establishing new acquisition goodwill</x:v>
      </x:c>
      <x:c r="F8" s="664"/>
      <x:c r="G8" s="538"/>
      <x:c r="H8" s="779" t="str">
        <x:v>Customer-related intangibles</x:v>
      </x:c>
      <x:c r="I8" s="744" t="n">
        <x:f>C18</x:f>
        <x:v>2960.7423999999996</x:v>
      </x:c>
      <x:c r="J8" s="664" t="str">
        <x:v>Fair value of customer relationships</x:v>
      </x:c>
      <x:c r="K8" s="664"/>
      <x:c r="L8" s="664"/>
      <x:c r="M8" s="664"/>
      <x:c r="N8" s="664"/>
      <x:c r="O8" s="664"/>
    </x:row>
    <x:row r="9" ht="24" customHeight="1">
      <x:c r="A9" s="779" t="str">
        <x:v>Less: existing intangible assets</x:v>
      </x:c>
      <x:c r="B9" s="744" t="n">
        <x:v>64.464</x:v>
      </x:c>
      <x:c r="C9" s="436" t="str">
        <x:v>$mm</x:v>
      </x:c>
      <x:c r="D9" s="436" t="str">
        <x:v>S-052</x:v>
      </x:c>
      <x:c r="E9" s="664" t="str">
        <x:v>Historical finite-lived intangibles are replaced by the new fair-value allocation</x:v>
      </x:c>
      <x:c r="F9" s="664"/>
      <x:c r="G9" s="538"/>
      <x:c r="H9" s="779" t="str">
        <x:v>Technology-related intangibles</x:v>
      </x:c>
      <x:c r="I9" s="744" t="n">
        <x:f>C19</x:f>
        <x:v>1614.9503999999997</x:v>
      </x:c>
      <x:c r="J9" s="664" t="str">
        <x:v>Fair value of developed technology</x:v>
      </x:c>
      <x:c r="K9" s="664"/>
      <x:c r="L9" s="664"/>
      <x:c r="M9" s="664"/>
      <x:c r="N9" s="664"/>
      <x:c r="O9" s="664"/>
    </x:row>
    <x:row r="10" ht="24" customHeight="1">
      <x:c r="A10" s="779" t="str">
        <x:v>Tangible book value</x:v>
      </x:c>
      <x:c r="B10" s="744" t="n">
        <x:f>B7-B8-B9</x:f>
        <x:v>1183.7060000000001</x:v>
      </x:c>
      <x:c r="C10" s="436" t="str">
        <x:v>$mm</x:v>
      </x:c>
      <x:c r="D10" s="436" t="str">
        <x:v>Calculated</x:v>
      </x:c>
      <x:c r="E10" s="664" t="str">
        <x:v>Book equity less existing goodwill and intangibles</x:v>
      </x:c>
      <x:c r="F10" s="664"/>
      <x:c r="G10" s="538"/>
      <x:c r="H10" s="779" t="str">
        <x:v>Trade names</x:v>
      </x:c>
      <x:c r="I10" s="744" t="n">
        <x:f>C20</x:f>
        <x:v>403.73759999999993</x:v>
      </x:c>
      <x:c r="J10" s="664" t="str">
        <x:v>Fair value of trade names</x:v>
      </x:c>
      <x:c r="K10" s="664"/>
      <x:c r="L10" s="664"/>
      <x:c r="M10" s="664"/>
      <x:c r="N10" s="664"/>
      <x:c r="O10" s="664"/>
    </x:row>
    <x:row r="11" ht="24" customHeight="1">
      <x:c r="A11" s="779" t="str">
        <x:v>Tax rate</x:v>
      </x:c>
      <x:c r="B11" s="795" t="n">
        <x:v>0.21</x:v>
      </x:c>
      <x:c r="C11" s="436" t="str">
        <x:v>%</x:v>
      </x:c>
      <x:c r="D11" s="436" t="str">
        <x:v>Analyst assumption</x:v>
      </x:c>
      <x:c r="E11" s="664" t="str">
        <x:v>Illustrative statutory tax rate applied to fair-value step-ups</x:v>
      </x:c>
      <x:c r="F11" s="664"/>
      <x:c r="G11" s="538"/>
      <x:c r="H11" s="779" t="str">
        <x:v>Order backlog</x:v>
      </x:c>
      <x:c r="I11" s="744" t="n">
        <x:f>C21</x:f>
        <x:v>134.5792</x:v>
      </x:c>
      <x:c r="J11" s="664" t="str">
        <x:v>Fair value of acquired backlog</x:v>
      </x:c>
      <x:c r="K11" s="664"/>
      <x:c r="L11" s="664"/>
      <x:c r="M11" s="664"/>
      <x:c r="N11" s="664"/>
      <x:c r="O11" s="664"/>
    </x:row>
    <x:row r="12" ht="24" customHeight="1">
      <x:c r="A12" s="779" t="str">
        <x:v>Months per year</x:v>
      </x:c>
      <x:c r="B12" s="796" t="n">
        <x:v>12</x:v>
      </x:c>
      <x:c r="C12" s="436" t="str">
        <x:v>months</x:v>
      </x:c>
      <x:c r="D12" s="436" t="str">
        <x:v>Model convention</x:v>
      </x:c>
      <x:c r="E12" s="664" t="str">
        <x:v>Used to calculate straight-line expense by ownership period</x:v>
      </x:c>
      <x:c r="F12" s="664"/>
      <x:c r="G12" s="538"/>
      <x:c r="H12" s="779" t="str">
        <x:v>Inventory step-up</x:v>
      </x:c>
      <x:c r="I12" s="744" t="n">
        <x:f>C22</x:f>
        <x:v>67.2896</x:v>
      </x:c>
      <x:c r="J12" s="664" t="str">
        <x:v>Temporary fair-value uplift to inventory</x:v>
      </x:c>
      <x:c r="K12" s="664"/>
      <x:c r="L12" s="664"/>
      <x:c r="M12" s="664"/>
      <x:c r="N12" s="664"/>
      <x:c r="O12" s="664"/>
    </x:row>
    <x:row r="13" ht="24" customHeight="1">
      <x:c r="A13" s="779" t="str">
        <x:v>First fiscal-year ownership</x:v>
      </x:c>
      <x:c r="B13" s="796" t="n">
        <x:v>6</x:v>
      </x:c>
      <x:c r="C13" s="436" t="str">
        <x:v>months</x:v>
      </x:c>
      <x:c r="D13" s="436" t="str">
        <x:v>Analyst convention</x:v>
      </x:c>
      <x:c r="E13" s="664" t="str">
        <x:v>Six months from the March 31 close to Rockwell’s September 30 fiscal year-end</x:v>
      </x:c>
      <x:c r="F13" s="664"/>
      <x:c r="G13" s="538"/>
      <x:c r="H13" s="779" t="str">
        <x:v>PP&amp;E step-up</x:v>
      </x:c>
      <x:c r="I13" s="744" t="n">
        <x:f>C23</x:f>
        <x:v>67.2896</x:v>
      </x:c>
      <x:c r="J13" s="664" t="str">
        <x:v>Fair-value uplift to property and equipment</x:v>
      </x:c>
      <x:c r="K13" s="664"/>
      <x:c r="L13" s="664"/>
      <x:c r="M13" s="664"/>
      <x:c r="N13" s="664"/>
      <x:c r="O13" s="664"/>
    </x:row>
    <x:row r="14" ht="24" customHeight="1">
      <x:c r="A14" s="779" t="str">
        <x:v>Illustrative close date</x:v>
      </x:c>
      <x:c r="B14" s="797" t="n">
        <x:f>'Sources &amp; Uses'!B18</x:f>
        <x:v>46477</x:v>
      </x:c>
      <x:c r="C14" s="436" t="str">
        <x:v>date</x:v>
      </x:c>
      <x:c r="D14" s="436" t="str">
        <x:v>Sources &amp; Uses</x:v>
      </x:c>
      <x:c r="E14" s="664" t="str">
        <x:v>Links to the financing schedule</x:v>
      </x:c>
      <x:c r="F14" s="664"/>
      <x:c r="G14" s="538"/>
      <x:c r="H14" s="779" t="str">
        <x:v>Gross fair-value write-ups</x:v>
      </x:c>
      <x:c r="I14" s="744" t="n">
        <x:f>SUM(I8:I13)</x:f>
        <x:v>5248.5887999999995</x:v>
      </x:c>
      <x:c r="J14" s="664" t="str">
        <x:v>Total identifiable asset write-ups</x:v>
      </x:c>
      <x:c r="K14" s="664"/>
      <x:c r="L14" s="664"/>
      <x:c r="M14" s="664"/>
      <x:c r="N14" s="664"/>
      <x:c r="O14" s="664"/>
    </x:row>
    <x:row r="15" ht="24" customHeight="1">
      <x:c r="A15" s="538"/>
      <x:c r="B15" s="538"/>
      <x:c r="C15" s="538"/>
      <x:c r="D15" s="538"/>
      <x:c r="E15" s="538"/>
      <x:c r="F15" s="538"/>
      <x:c r="G15" s="538"/>
      <x:c r="H15" s="779" t="str">
        <x:v>Incremental deferred tax liability</x:v>
      </x:c>
      <x:c r="I15" s="744" t="n">
        <x:f>I14*$B$11</x:f>
        <x:v>1102.203648</x:v>
      </x:c>
      <x:c r="J15" s="664" t="str">
        <x:v>Assumes tax basis does not step up; increases goodwill</x:v>
      </x:c>
      <x:c r="K15" s="664"/>
      <x:c r="L15" s="664"/>
      <x:c r="M15" s="664"/>
      <x:c r="N15" s="664"/>
      <x:c r="O15" s="664"/>
    </x:row>
    <x:row r="16" ht="24" customHeight="1">
      <x:c r="A16" s="777" t="str">
        <x:v>FAIR-VALUE ALLOCATION ASSUMPTIONS</x:v>
      </x:c>
      <x:c r="B16" s="777"/>
      <x:c r="C16" s="777"/>
      <x:c r="D16" s="777"/>
      <x:c r="E16" s="777"/>
      <x:c r="F16" s="777"/>
      <x:c r="G16" s="538"/>
      <x:c r="H16" s="779" t="str">
        <x:v>Net identifiable assets</x:v>
      </x:c>
      <x:c r="I16" s="744" t="n">
        <x:f>I7+I14-I15</x:f>
        <x:v>5330.091152</x:v>
      </x:c>
      <x:c r="J16" s="664" t="str">
        <x:v>Tangible book value plus write-ups less deferred tax liability</x:v>
      </x:c>
      <x:c r="K16" s="664"/>
      <x:c r="L16" s="664"/>
      <x:c r="M16" s="664"/>
      <x:c r="N16" s="664"/>
      <x:c r="O16" s="664"/>
    </x:row>
    <x:row r="17" ht="24" customHeight="1">
      <x:c r="A17" s="782" t="str">
        <x:v>Asset</x:v>
      </x:c>
      <x:c r="B17" s="782" t="str">
        <x:v>% of consideration</x:v>
      </x:c>
      <x:c r="C17" s="782" t="str">
        <x:v>Fair value</x:v>
      </x:c>
      <x:c r="D17" s="782" t="str">
        <x:v>Useful life</x:v>
      </x:c>
      <x:c r="E17" s="782" t="str">
        <x:v>Annual expense</x:v>
      </x:c>
      <x:c r="F17" s="809" t="str">
        <x:v>Rationale</x:v>
      </x:c>
      <x:c r="G17" s="538"/>
      <x:c r="H17" s="779" t="str">
        <x:v>New goodwill</x:v>
      </x:c>
      <x:c r="I17" s="801" t="n">
        <x:f>I6-I16</x:f>
        <x:v>8127.828847999998</x:v>
      </x:c>
      <x:c r="J17" s="664" t="str">
        <x:v>Residual consideration not assigned to identifiable net assets</x:v>
      </x:c>
      <x:c r="K17" s="664"/>
      <x:c r="L17" s="664"/>
      <x:c r="M17" s="664"/>
      <x:c r="N17" s="664"/>
      <x:c r="O17" s="664"/>
    </x:row>
    <x:row r="18" ht="24" customHeight="1">
      <x:c r="A18" s="779" t="str">
        <x:v>Customer relationships</x:v>
      </x:c>
      <x:c r="B18" s="795" t="n">
        <x:v>0.22</x:v>
      </x:c>
      <x:c r="C18" s="744" t="n">
        <x:f>$B$6*B18</x:f>
        <x:v>2960.7423999999996</x:v>
      </x:c>
      <x:c r="D18" s="800" t="n">
        <x:v>15</x:v>
      </x:c>
      <x:c r="E18" s="744" t="n">
        <x:f>C18/D18</x:f>
        <x:v>197.38282666666663</x:v>
      </x:c>
      <x:c r="F18" s="664" t="str">
        <x:v>Recurring installed-base relationships and channel access</x:v>
      </x:c>
      <x:c r="G18" s="538"/>
      <x:c r="H18" s="779" t="str">
        <x:v>Goodwill / consideration</x:v>
      </x:c>
      <x:c r="I18" s="802" t="n">
        <x:f>I17/I6</x:f>
        <x:v>0.6039439116891763</x:v>
      </x:c>
      <x:c r="J18" s="664" t="str">
        <x:v>High goodwill share reflects strategic value and the elevated offer multiple</x:v>
      </x:c>
      <x:c r="K18" s="664"/>
      <x:c r="L18" s="664"/>
      <x:c r="M18" s="664"/>
      <x:c r="N18" s="664"/>
      <x:c r="O18" s="664"/>
    </x:row>
    <x:row r="19" ht="24" customHeight="1">
      <x:c r="A19" s="779" t="str">
        <x:v>Developed technology</x:v>
      </x:c>
      <x:c r="B19" s="795" t="n">
        <x:v>0.12</x:v>
      </x:c>
      <x:c r="C19" s="744" t="n">
        <x:f>$B$6*B19</x:f>
        <x:v>1614.9503999999997</x:v>
      </x:c>
      <x:c r="D19" s="800" t="n">
        <x:v>7</x:v>
      </x:c>
      <x:c r="E19" s="744" t="n">
        <x:f>C19/D19</x:f>
        <x:v>230.70719999999997</x:v>
      </x:c>
      <x:c r="F19" s="664" t="str">
        <x:v>Machine-vision software, algorithms, and product technology</x:v>
      </x:c>
      <x:c r="G19" s="538"/>
      <x:c r="H19" s="538"/>
      <x:c r="I19" s="538"/>
      <x:c r="J19" s="554"/>
      <x:c r="K19" s="554"/>
      <x:c r="L19" s="554"/>
      <x:c r="M19" s="554"/>
      <x:c r="N19" s="554"/>
      <x:c r="O19" s="554"/>
    </x:row>
    <x:row r="20" ht="24" customHeight="1">
      <x:c r="A20" s="779" t="str">
        <x:v>Trade names</x:v>
      </x:c>
      <x:c r="B20" s="795" t="n">
        <x:v>0.03</x:v>
      </x:c>
      <x:c r="C20" s="744" t="n">
        <x:f>$B$6*B20</x:f>
        <x:v>403.73759999999993</x:v>
      </x:c>
      <x:c r="D20" s="800" t="n">
        <x:v>15</x:v>
      </x:c>
      <x:c r="E20" s="744" t="n">
        <x:f>C20/D20</x:f>
        <x:v>26.915839999999996</x:v>
      </x:c>
      <x:c r="F20" s="664" t="str">
        <x:v>Cognex brand and product-family names</x:v>
      </x:c>
      <x:c r="G20" s="538"/>
      <x:c r="H20" s="777" t="str">
        <x:v>KEY OUTPUTS</x:v>
      </x:c>
      <x:c r="I20" s="777"/>
      <x:c r="J20" s="810"/>
      <x:c r="K20" s="810"/>
      <x:c r="L20" s="810"/>
      <x:c r="M20" s="810"/>
      <x:c r="N20" s="810"/>
      <x:c r="O20" s="810"/>
    </x:row>
    <x:row r="21" ht="24" customHeight="1">
      <x:c r="A21" s="779" t="str">
        <x:v>Order backlog</x:v>
      </x:c>
      <x:c r="B21" s="795" t="n">
        <x:v>0.01</x:v>
      </x:c>
      <x:c r="C21" s="744" t="n">
        <x:f>$B$6*B21</x:f>
        <x:v>134.5792</x:v>
      </x:c>
      <x:c r="D21" s="800" t="n">
        <x:v>2</x:v>
      </x:c>
      <x:c r="E21" s="744" t="n">
        <x:f>C21/D21</x:f>
        <x:v>67.2896</x:v>
      </x:c>
      <x:c r="F21" s="664" t="str">
        <x:v>Existing contracted or expected customer orders</x:v>
      </x:c>
      <x:c r="G21" s="538"/>
      <x:c r="H21" s="779" t="str">
        <x:v>New goodwill</x:v>
      </x:c>
      <x:c r="I21" s="801" t="n">
        <x:f>I17</x:f>
        <x:v>8127.828847999998</x:v>
      </x:c>
      <x:c r="J21" s="664" t="str">
        <x:v>Not amortized; tested for impairment</x:v>
      </x:c>
      <x:c r="K21" s="664"/>
      <x:c r="L21" s="664"/>
      <x:c r="M21" s="664"/>
      <x:c r="N21" s="664"/>
      <x:c r="O21" s="664"/>
    </x:row>
    <x:row r="22" ht="24" customHeight="1">
      <x:c r="A22" s="779" t="str">
        <x:v>Inventory step-up</x:v>
      </x:c>
      <x:c r="B22" s="795" t="n">
        <x:v>0.005</x:v>
      </x:c>
      <x:c r="C22" s="744" t="n">
        <x:f>$B$6*B22</x:f>
        <x:v>67.2896</x:v>
      </x:c>
      <x:c r="D22" s="800" t="n">
        <x:v>1</x:v>
      </x:c>
      <x:c r="E22" s="744" t="n">
        <x:f>C22/D22</x:f>
        <x:v>67.2896</x:v>
      </x:c>
      <x:c r="F22" s="664" t="str">
        <x:v>Fair-value uplift recognized through cost of sales</x:v>
      </x:c>
      <x:c r="G22" s="538"/>
      <x:c r="H22" s="779" t="str">
        <x:v>Total identifiable intangibles</x:v>
      </x:c>
      <x:c r="I22" s="801" t="n">
        <x:f>SUM(C18:C21)</x:f>
        <x:v>5114.009599999999</x:v>
      </x:c>
      <x:c r="J22" s="664" t="str">
        <x:v>Finite-lived customer, technology, trade-name, and backlog assets</x:v>
      </x:c>
      <x:c r="K22" s="664"/>
      <x:c r="L22" s="664"/>
      <x:c r="M22" s="664"/>
      <x:c r="N22" s="664"/>
      <x:c r="O22" s="664"/>
    </x:row>
    <x:row r="23" ht="24" customHeight="1">
      <x:c r="A23" s="779" t="str">
        <x:v>PP&amp;E step-up</x:v>
      </x:c>
      <x:c r="B23" s="795" t="n">
        <x:v>0.005</x:v>
      </x:c>
      <x:c r="C23" s="744" t="n">
        <x:f>$B$6*B23</x:f>
        <x:v>67.2896</x:v>
      </x:c>
      <x:c r="D23" s="800" t="n">
        <x:v>10</x:v>
      </x:c>
      <x:c r="E23" s="744" t="n">
        <x:f>C23/D23</x:f>
        <x:v>6.728959999999999</x:v>
      </x:c>
      <x:c r="F23" s="664" t="str">
        <x:v>Fair-value uplift recognized through depreciation</x:v>
      </x:c>
      <x:c r="G23" s="538"/>
      <x:c r="H23" s="779" t="str">
        <x:v>Initial deferred tax liability</x:v>
      </x:c>
      <x:c r="I23" s="801" t="n">
        <x:f>I15</x:f>
        <x:v>1102.203648</x:v>
      </x:c>
      <x:c r="J23" s="664" t="str">
        <x:v>Reverses as the associated book-basis assets are expensed</x:v>
      </x:c>
      <x:c r="K23" s="664"/>
      <x:c r="L23" s="664"/>
      <x:c r="M23" s="664"/>
      <x:c r="N23" s="664"/>
      <x:c r="O23" s="664"/>
    </x:row>
    <x:row r="24" ht="24" customHeight="1">
      <x:c r="A24" s="784" t="str">
        <x:v>Total allocation</x:v>
      </x:c>
      <x:c r="B24" s="798" t="n">
        <x:f>SUM(B18:B23)</x:f>
        <x:v>0.39</x:v>
      </x:c>
      <x:c r="C24" s="799" t="n">
        <x:f>SUM(C18:C23)</x:f>
        <x:v>5248.5887999999995</x:v>
      </x:c>
      <x:c r="D24" s="726"/>
      <x:c r="E24" s="799" t="n">
        <x:f>SUM(E18:E23)</x:f>
        <x:v>596.3140266666666</x:v>
      </x:c>
      <x:c r="F24" s="723" t="str">
        <x:v>Excludes goodwill, which is calculated as the residual</x:v>
      </x:c>
      <x:c r="G24" s="538"/>
      <x:c r="H24" s="779" t="str">
        <x:v>Annualized intangible amortization</x:v>
      </x:c>
      <x:c r="I24" s="801" t="n">
        <x:f>SUM(E18:E21)</x:f>
        <x:v>522.2954666666666</x:v>
      </x:c>
      <x:c r="J24" s="664" t="str">
        <x:v>Full-year run-rate before the closing-date convention</x:v>
      </x:c>
      <x:c r="K24" s="664"/>
      <x:c r="L24" s="664"/>
      <x:c r="M24" s="664"/>
      <x:c r="N24" s="664"/>
      <x:c r="O24" s="664"/>
    </x:row>
    <x:row r="25" ht="24" customHeight="1">
      <x:c r="A25" s="538"/>
      <x:c r="B25" s="538"/>
      <x:c r="C25" s="538"/>
      <x:c r="D25" s="538"/>
      <x:c r="E25" s="538"/>
      <x:c r="F25" s="538"/>
      <x:c r="G25" s="538"/>
      <x:c r="H25" s="779" t="str">
        <x:v>Annualized PP&amp;E depreciation</x:v>
      </x:c>
      <x:c r="I25" s="801" t="n">
        <x:f>E23</x:f>
        <x:v>6.728959999999999</x:v>
      </x:c>
      <x:c r="J25" s="664" t="str">
        <x:v>Full-year run-rate</x:v>
      </x:c>
      <x:c r="K25" s="664"/>
      <x:c r="L25" s="664"/>
      <x:c r="M25" s="664"/>
      <x:c r="N25" s="664"/>
      <x:c r="O25" s="664"/>
    </x:row>
    <x:row r="26" ht="24" customHeight="1">
      <x:c r="A26" s="538"/>
      <x:c r="B26" s="538"/>
      <x:c r="C26" s="538"/>
      <x:c r="D26" s="538"/>
      <x:c r="E26" s="538"/>
      <x:c r="F26" s="538"/>
      <x:c r="G26" s="538"/>
      <x:c r="H26" s="779" t="str">
        <x:v>Annualized inventory step-up expense</x:v>
      </x:c>
      <x:c r="I26" s="801" t="n">
        <x:f>E22</x:f>
        <x:v>67.2896</x:v>
      </x:c>
      <x:c r="J26" s="664" t="str">
        <x:v>Full-year run-rate; realized through cost of sales</x:v>
      </x:c>
      <x:c r="K26" s="664"/>
      <x:c r="L26" s="664"/>
      <x:c r="M26" s="664"/>
      <x:c r="N26" s="664"/>
      <x:c r="O26" s="664"/>
    </x:row>
    <x:row r="27" ht="24" customHeight="1">
      <x:c r="A27" s="538"/>
      <x:c r="B27" s="538"/>
      <x:c r="C27" s="538"/>
      <x:c r="D27" s="538"/>
      <x:c r="E27" s="538"/>
      <x:c r="F27" s="538"/>
      <x:c r="G27" s="538"/>
      <x:c r="H27" s="779" t="str">
        <x:v>First-year after-tax PPA expense</x:v>
      </x:c>
      <x:c r="I27" s="801" t="n">
        <x:f>B43</x:f>
        <x:v>235.5440405333333</x:v>
      </x:c>
      <x:c r="J27" s="664" t="str">
        <x:v>Six-month FY2027E impact after the modeled tax benefit</x:v>
      </x:c>
      <x:c r="K27" s="664"/>
      <x:c r="L27" s="664"/>
      <x:c r="M27" s="664"/>
      <x:c r="N27" s="664"/>
      <x:c r="O27" s="664"/>
    </x:row>
    <x:row r="28" ht="18" customHeight="1">
      <x:c r="A28" s="538"/>
      <x:c r="B28" s="538"/>
      <x:c r="C28" s="538"/>
      <x:c r="D28" s="538"/>
      <x:c r="E28" s="538"/>
      <x:c r="F28" s="538"/>
      <x:c r="G28" s="538"/>
      <x:c r="H28" s="538"/>
      <x:c r="I28" s="538"/>
      <x:c r="J28" s="538"/>
      <x:c r="K28" s="538"/>
      <x:c r="L28" s="538"/>
      <x:c r="M28" s="538"/>
      <x:c r="N28" s="538"/>
      <x:c r="O28" s="538"/>
    </x:row>
    <x:row r="29" ht="18" customHeight="1">
      <x:c r="A29" s="777" t="str">
        <x:v>INCREMENTAL NON-CASH EXPENSE SCHEDULE</x:v>
      </x:c>
      <x:c r="B29" s="777"/>
      <x:c r="C29" s="777"/>
      <x:c r="D29" s="777"/>
      <x:c r="E29" s="777"/>
      <x:c r="F29" s="777"/>
      <x:c r="G29" s="777"/>
      <x:c r="H29" s="777"/>
      <x:c r="I29" s="777"/>
      <x:c r="J29" s="777"/>
      <x:c r="K29" s="777"/>
      <x:c r="L29" s="777"/>
      <x:c r="M29" s="777"/>
      <x:c r="N29" s="777"/>
      <x:c r="O29" s="777"/>
    </x:row>
    <x:row r="30" ht="18" customHeight="1">
      <x:c r="A30" s="779" t="str">
        <x:v>Fiscal year ended</x:v>
      </x:c>
      <x:c r="B30" s="803" t="n">
        <x:f>DATE(YEAR($B$14),9,30)</x:f>
        <x:v>46660</x:v>
      </x:c>
      <x:c r="C30" s="803" t="n">
        <x:f>DATE(YEAR(B30)+1,9,30)</x:f>
        <x:v>47026</x:v>
      </x:c>
      <x:c r="D30" s="803" t="n">
        <x:f>DATE(YEAR(C30)+1,9,30)</x:f>
        <x:v>47391</x:v>
      </x:c>
      <x:c r="E30" s="803" t="n">
        <x:f>DATE(YEAR(D30)+1,9,30)</x:f>
        <x:v>47756</x:v>
      </x:c>
      <x:c r="F30" s="803" t="n">
        <x:f>DATE(YEAR(E30)+1,9,30)</x:f>
        <x:v>48121</x:v>
      </x:c>
      <x:c r="G30" s="664" t="str">
        <x:v>Calculation</x:v>
      </x:c>
      <x:c r="H30" s="538"/>
      <x:c r="I30" s="538"/>
      <x:c r="J30" s="538"/>
      <x:c r="K30" s="538"/>
      <x:c r="L30" s="538"/>
      <x:c r="M30" s="538"/>
      <x:c r="N30" s="538"/>
      <x:c r="O30" s="538"/>
    </x:row>
    <x:row r="31" ht="18" customHeight="1">
      <x:c r="A31" s="779" t="str">
        <x:v>Months owned</x:v>
      </x:c>
      <x:c r="B31" s="804" t="n">
        <x:f>$B$13</x:f>
        <x:v>6</x:v>
      </x:c>
      <x:c r="C31" s="804" t="n">
        <x:v>12</x:v>
      </x:c>
      <x:c r="D31" s="804" t="n">
        <x:v>12</x:v>
      </x:c>
      <x:c r="E31" s="804" t="n">
        <x:v>12</x:v>
      </x:c>
      <x:c r="F31" s="804" t="n">
        <x:v>12</x:v>
      </x:c>
      <x:c r="G31" s="664" t="str">
        <x:v>Close-date convention</x:v>
      </x:c>
      <x:c r="H31" s="538"/>
      <x:c r="I31" s="538"/>
      <x:c r="J31" s="538"/>
      <x:c r="K31" s="538"/>
      <x:c r="L31" s="538"/>
      <x:c r="M31" s="538"/>
      <x:c r="N31" s="538"/>
      <x:c r="O31" s="538"/>
    </x:row>
    <x:row r="32" ht="18" customHeight="1">
      <x:c r="A32" s="779" t="str">
        <x:v>Cumulative months owned</x:v>
      </x:c>
      <x:c r="B32" s="804" t="n">
        <x:f>B31</x:f>
        <x:v>6</x:v>
      </x:c>
      <x:c r="C32" s="804" t="n">
        <x:f>B32+C31</x:f>
        <x:v>18</x:v>
      </x:c>
      <x:c r="D32" s="804" t="n">
        <x:f>C32+D31</x:f>
        <x:v>30</x:v>
      </x:c>
      <x:c r="E32" s="804" t="n">
        <x:f>D32+E31</x:f>
        <x:v>42</x:v>
      </x:c>
      <x:c r="F32" s="804" t="n">
        <x:f>E32+F31</x:f>
        <x:v>54</x:v>
      </x:c>
      <x:c r="G32" s="664" t="str">
        <x:v>Used to stop expense at end of useful life</x:v>
      </x:c>
      <x:c r="H32" s="538"/>
      <x:c r="I32" s="538"/>
      <x:c r="J32" s="538"/>
      <x:c r="K32" s="538"/>
      <x:c r="L32" s="538"/>
      <x:c r="M32" s="538"/>
      <x:c r="N32" s="538"/>
      <x:c r="O32" s="538"/>
    </x:row>
    <x:row r="33" ht="18" customHeight="1">
      <x:c r="A33" s="779"/>
      <x:c r="B33" s="436"/>
      <x:c r="C33" s="436"/>
      <x:c r="D33" s="436"/>
      <x:c r="E33" s="436"/>
      <x:c r="F33" s="436"/>
      <x:c r="G33" s="664"/>
      <x:c r="H33" s="538"/>
      <x:c r="I33" s="538"/>
      <x:c r="J33" s="538"/>
      <x:c r="K33" s="538"/>
      <x:c r="L33" s="538"/>
      <x:c r="M33" s="538"/>
      <x:c r="N33" s="538"/>
      <x:c r="O33" s="538"/>
    </x:row>
    <x:row r="34" ht="18" customHeight="1">
      <x:c r="A34" s="779" t="str">
        <x:v>Customer relationship amortization</x:v>
      </x:c>
      <x:c r="B34" s="744" t="n">
        <x:f>MIN(B$31,MAX(0,$D18*$B$12-(B$32-B$31)))*$C18/($D18*$B$12)</x:f>
        <x:v>98.69141333333333</x:v>
      </x:c>
      <x:c r="C34" s="744" t="n">
        <x:f>MIN(C$31,MAX(0,$D18*$B$12-(C$32-C$31)))*$C18/($D18*$B$12)</x:f>
        <x:v>197.38282666666666</x:v>
      </x:c>
      <x:c r="D34" s="744" t="n">
        <x:f>MIN(D$31,MAX(0,$D18*$B$12-(D$32-D$31)))*$C18/($D18*$B$12)</x:f>
        <x:v>197.38282666666666</x:v>
      </x:c>
      <x:c r="E34" s="744" t="n">
        <x:f>MIN(E$31,MAX(0,$D18*$B$12-(E$32-E$31)))*$C18/($D18*$B$12)</x:f>
        <x:v>197.38282666666666</x:v>
      </x:c>
      <x:c r="F34" s="744" t="n">
        <x:f>MIN(F$31,MAX(0,$D18*$B$12-(F$32-F$31)))*$C18/($D18*$B$12)</x:f>
        <x:v>197.38282666666666</x:v>
      </x:c>
      <x:c r="G34" s="664" t="str">
        <x:v>Straight-line over 15 years</x:v>
      </x:c>
      <x:c r="H34" s="538"/>
      <x:c r="I34" s="538"/>
      <x:c r="J34" s="538"/>
      <x:c r="K34" s="538"/>
      <x:c r="L34" s="538"/>
      <x:c r="M34" s="538"/>
      <x:c r="N34" s="538"/>
      <x:c r="O34" s="538"/>
    </x:row>
    <x:row r="35" ht="18" customHeight="1">
      <x:c r="A35" s="779" t="str">
        <x:v>Developed technology amortization</x:v>
      </x:c>
      <x:c r="B35" s="744" t="n">
        <x:f>MIN(B$31,MAX(0,$D19*$B$12-(B$32-B$31)))*$C19/($D19*$B$12)</x:f>
        <x:v>115.35359999999999</x:v>
      </x:c>
      <x:c r="C35" s="744" t="n">
        <x:f>MIN(C$31,MAX(0,$D19*$B$12-(C$32-C$31)))*$C19/($D19*$B$12)</x:f>
        <x:v>230.70719999999997</x:v>
      </x:c>
      <x:c r="D35" s="744" t="n">
        <x:f>MIN(D$31,MAX(0,$D19*$B$12-(D$32-D$31)))*$C19/($D19*$B$12)</x:f>
        <x:v>230.70719999999997</x:v>
      </x:c>
      <x:c r="E35" s="744" t="n">
        <x:f>MIN(E$31,MAX(0,$D19*$B$12-(E$32-E$31)))*$C19/($D19*$B$12)</x:f>
        <x:v>230.70719999999997</x:v>
      </x:c>
      <x:c r="F35" s="744" t="n">
        <x:f>MIN(F$31,MAX(0,$D19*$B$12-(F$32-F$31)))*$C19/($D19*$B$12)</x:f>
        <x:v>230.70719999999997</x:v>
      </x:c>
      <x:c r="G35" s="664" t="str">
        <x:v>Straight-line over 7 years</x:v>
      </x:c>
      <x:c r="H35" s="538"/>
      <x:c r="I35" s="538"/>
      <x:c r="J35" s="538"/>
      <x:c r="K35" s="538"/>
      <x:c r="L35" s="538"/>
      <x:c r="M35" s="538"/>
      <x:c r="N35" s="538"/>
      <x:c r="O35" s="538"/>
    </x:row>
    <x:row r="36" ht="18" customHeight="1">
      <x:c r="A36" s="779" t="str">
        <x:v>Trade-name amortization</x:v>
      </x:c>
      <x:c r="B36" s="744" t="n">
        <x:f>MIN(B$31,MAX(0,$D20*$B$12-(B$32-B$31)))*$C20/($D20*$B$12)</x:f>
        <x:v>13.457919999999998</x:v>
      </x:c>
      <x:c r="C36" s="744" t="n">
        <x:f>MIN(C$31,MAX(0,$D20*$B$12-(C$32-C$31)))*$C20/($D20*$B$12)</x:f>
        <x:v>26.915839999999996</x:v>
      </x:c>
      <x:c r="D36" s="744" t="n">
        <x:f>MIN(D$31,MAX(0,$D20*$B$12-(D$32-D$31)))*$C20/($D20*$B$12)</x:f>
        <x:v>26.915839999999996</x:v>
      </x:c>
      <x:c r="E36" s="744" t="n">
        <x:f>MIN(E$31,MAX(0,$D20*$B$12-(E$32-E$31)))*$C20/($D20*$B$12)</x:f>
        <x:v>26.915839999999996</x:v>
      </x:c>
      <x:c r="F36" s="744" t="n">
        <x:f>MIN(F$31,MAX(0,$D20*$B$12-(F$32-F$31)))*$C20/($D20*$B$12)</x:f>
        <x:v>26.915839999999996</x:v>
      </x:c>
      <x:c r="G36" s="664" t="str">
        <x:v>Straight-line over 15 years</x:v>
      </x:c>
      <x:c r="H36" s="538"/>
      <x:c r="I36" s="538"/>
      <x:c r="J36" s="538"/>
      <x:c r="K36" s="538"/>
      <x:c r="L36" s="538"/>
      <x:c r="M36" s="538"/>
      <x:c r="N36" s="538"/>
      <x:c r="O36" s="538"/>
    </x:row>
    <x:row r="37" ht="18" customHeight="1">
      <x:c r="A37" s="779" t="str">
        <x:v>Backlog amortization</x:v>
      </x:c>
      <x:c r="B37" s="744" t="n">
        <x:f>MIN(B$31,MAX(0,$D21*$B$12-(B$32-B$31)))*$C21/($D21*$B$12)</x:f>
        <x:v>33.6448</x:v>
      </x:c>
      <x:c r="C37" s="744" t="n">
        <x:f>MIN(C$31,MAX(0,$D21*$B$12-(C$32-C$31)))*$C21/($D21*$B$12)</x:f>
        <x:v>67.2896</x:v>
      </x:c>
      <x:c r="D37" s="744" t="n">
        <x:f>MIN(D$31,MAX(0,$D21*$B$12-(D$32-D$31)))*$C21/($D21*$B$12)</x:f>
        <x:v>33.6448</x:v>
      </x:c>
      <x:c r="E37" s="744" t="n">
        <x:f>MIN(E$31,MAX(0,$D21*$B$12-(E$32-E$31)))*$C21/($D21*$B$12)</x:f>
        <x:v>0</x:v>
      </x:c>
      <x:c r="F37" s="744" t="n">
        <x:f>MIN(F$31,MAX(0,$D21*$B$12-(F$32-F$31)))*$C21/($D21*$B$12)</x:f>
        <x:v>0</x:v>
      </x:c>
      <x:c r="G37" s="664" t="str">
        <x:v>Straight-line over 2 years</x:v>
      </x:c>
      <x:c r="H37" s="538"/>
      <x:c r="I37" s="538"/>
      <x:c r="J37" s="538"/>
      <x:c r="K37" s="538"/>
      <x:c r="L37" s="538"/>
      <x:c r="M37" s="538"/>
      <x:c r="N37" s="538"/>
      <x:c r="O37" s="538"/>
    </x:row>
    <x:row r="38" ht="18" customHeight="1">
      <x:c r="A38" s="779" t="str">
        <x:v>Inventory step-up expense</x:v>
      </x:c>
      <x:c r="B38" s="744" t="n">
        <x:f>MIN(B$31,MAX(0,$D22*$B$12-(B$32-B$31)))*$C22/($D22*$B$12)</x:f>
        <x:v>33.6448</x:v>
      </x:c>
      <x:c r="C38" s="744" t="n">
        <x:f>MIN(C$31,MAX(0,$D22*$B$12-(C$32-C$31)))*$C22/($D22*$B$12)</x:f>
        <x:v>33.6448</x:v>
      </x:c>
      <x:c r="D38" s="744" t="n">
        <x:f>MIN(D$31,MAX(0,$D22*$B$12-(D$32-D$31)))*$C22/($D22*$B$12)</x:f>
        <x:v>0</x:v>
      </x:c>
      <x:c r="E38" s="744" t="n">
        <x:f>MIN(E$31,MAX(0,$D22*$B$12-(E$32-E$31)))*$C22/($D22*$B$12)</x:f>
        <x:v>0</x:v>
      </x:c>
      <x:c r="F38" s="744" t="n">
        <x:f>MIN(F$31,MAX(0,$D22*$B$12-(F$32-F$31)))*$C22/($D22*$B$12)</x:f>
        <x:v>0</x:v>
      </x:c>
      <x:c r="G38" s="664" t="str">
        <x:v>Recognized over 1 year</x:v>
      </x:c>
      <x:c r="H38" s="538"/>
      <x:c r="I38" s="538"/>
      <x:c r="J38" s="538"/>
      <x:c r="K38" s="538"/>
      <x:c r="L38" s="538"/>
      <x:c r="M38" s="538"/>
      <x:c r="N38" s="538"/>
      <x:c r="O38" s="538"/>
    </x:row>
    <x:row r="39" ht="18" customHeight="1">
      <x:c r="A39" s="779" t="str">
        <x:v>Incremental PP&amp;E depreciation</x:v>
      </x:c>
      <x:c r="B39" s="744" t="n">
        <x:f>MIN(B$31,MAX(0,$D23*$B$12-(B$32-B$31)))*$C23/($D23*$B$12)</x:f>
        <x:v>3.3644799999999995</x:v>
      </x:c>
      <x:c r="C39" s="744" t="n">
        <x:f>MIN(C$31,MAX(0,$D23*$B$12-(C$32-C$31)))*$C23/($D23*$B$12)</x:f>
        <x:v>6.728959999999999</x:v>
      </x:c>
      <x:c r="D39" s="744" t="n">
        <x:f>MIN(D$31,MAX(0,$D23*$B$12-(D$32-D$31)))*$C23/($D23*$B$12)</x:f>
        <x:v>6.728959999999999</x:v>
      </x:c>
      <x:c r="E39" s="744" t="n">
        <x:f>MIN(E$31,MAX(0,$D23*$B$12-(E$32-E$31)))*$C23/($D23*$B$12)</x:f>
        <x:v>6.728959999999999</x:v>
      </x:c>
      <x:c r="F39" s="744" t="n">
        <x:f>MIN(F$31,MAX(0,$D23*$B$12-(F$32-F$31)))*$C23/($D23*$B$12)</x:f>
        <x:v>6.728959999999999</x:v>
      </x:c>
      <x:c r="G39" s="664" t="str">
        <x:v>Straight-line over 10 years</x:v>
      </x:c>
      <x:c r="H39" s="538"/>
      <x:c r="I39" s="538"/>
      <x:c r="J39" s="538"/>
      <x:c r="K39" s="538"/>
      <x:c r="L39" s="538"/>
      <x:c r="M39" s="538"/>
      <x:c r="N39" s="538"/>
      <x:c r="O39" s="538"/>
    </x:row>
    <x:row r="40" ht="18" customHeight="1">
      <x:c r="A40" s="779"/>
      <x:c r="B40" s="744"/>
      <x:c r="C40" s="744"/>
      <x:c r="D40" s="744"/>
      <x:c r="E40" s="744"/>
      <x:c r="F40" s="744"/>
      <x:c r="G40" s="664"/>
      <x:c r="H40" s="538"/>
      <x:c r="I40" s="538"/>
      <x:c r="J40" s="538"/>
      <x:c r="K40" s="538"/>
      <x:c r="L40" s="538"/>
      <x:c r="M40" s="538"/>
      <x:c r="N40" s="538"/>
      <x:c r="O40" s="538"/>
    </x:row>
    <x:row r="41" ht="18" customHeight="1">
      <x:c r="A41" s="779" t="str">
        <x:v>Total incremental PPA expense</x:v>
      </x:c>
      <x:c r="B41" s="744" t="n">
        <x:f>SUM(B34:B39)</x:f>
        <x:v>298.1570133333333</x:v>
      </x:c>
      <x:c r="C41" s="744" t="n">
        <x:f>SUM(C34:C39)</x:f>
        <x:v>562.6692266666666</x:v>
      </x:c>
      <x:c r="D41" s="744" t="n">
        <x:f>SUM(D34:D39)</x:f>
        <x:v>495.3796266666666</x:v>
      </x:c>
      <x:c r="E41" s="744" t="n">
        <x:f>SUM(E34:E39)</x:f>
        <x:v>461.7348266666666</x:v>
      </x:c>
      <x:c r="F41" s="744" t="n">
        <x:f>SUM(F34:F39)</x:f>
        <x:v>461.7348266666666</x:v>
      </x:c>
      <x:c r="G41" s="664"/>
      <x:c r="H41" s="538"/>
      <x:c r="I41" s="538"/>
      <x:c r="J41" s="538"/>
      <x:c r="K41" s="538"/>
      <x:c r="L41" s="538"/>
      <x:c r="M41" s="538"/>
      <x:c r="N41" s="538"/>
      <x:c r="O41" s="538"/>
    </x:row>
    <x:row r="42" ht="18" customHeight="1">
      <x:c r="A42" s="779" t="str">
        <x:v>Deferred tax benefit</x:v>
      </x:c>
      <x:c r="B42" s="744" t="n">
        <x:f>B41*$B$11</x:f>
        <x:v>62.61297279999999</x:v>
      </x:c>
      <x:c r="C42" s="744" t="n">
        <x:f>C41*$B$11</x:f>
        <x:v>118.1605376</x:v>
      </x:c>
      <x:c r="D42" s="744" t="n">
        <x:f>D41*$B$11</x:f>
        <x:v>104.02972159999997</x:v>
      </x:c>
      <x:c r="E42" s="744" t="n">
        <x:f>E41*$B$11</x:f>
        <x:v>96.96431359999998</x:v>
      </x:c>
      <x:c r="F42" s="744" t="n">
        <x:f>F41*$B$11</x:f>
        <x:v>96.96431359999998</x:v>
      </x:c>
      <x:c r="G42" s="664"/>
      <x:c r="H42" s="538"/>
      <x:c r="I42" s="538"/>
      <x:c r="J42" s="538"/>
      <x:c r="K42" s="538"/>
      <x:c r="L42" s="538"/>
      <x:c r="M42" s="538"/>
      <x:c r="N42" s="538"/>
      <x:c r="O42" s="538"/>
    </x:row>
    <x:row r="43" ht="18" customHeight="1">
      <x:c r="A43" s="784" t="str">
        <x:v>After-tax PPA expense</x:v>
      </x:c>
      <x:c r="B43" s="805" t="n">
        <x:f>B41-B42</x:f>
        <x:v>235.5440405333333</x:v>
      </x:c>
      <x:c r="C43" s="805" t="n">
        <x:f>C41-C42</x:f>
        <x:v>444.50868906666665</x:v>
      </x:c>
      <x:c r="D43" s="805" t="n">
        <x:f>D41-D42</x:f>
        <x:v>391.3499050666666</x:v>
      </x:c>
      <x:c r="E43" s="805" t="n">
        <x:f>E41-E42</x:f>
        <x:v>364.77051306666664</x:v>
      </x:c>
      <x:c r="F43" s="805" t="n">
        <x:f>F41-F42</x:f>
        <x:v>364.77051306666664</x:v>
      </x:c>
      <x:c r="G43" s="664"/>
      <x:c r="H43" s="538"/>
      <x:c r="I43" s="538"/>
      <x:c r="J43" s="538"/>
      <x:c r="K43" s="538"/>
      <x:c r="L43" s="538"/>
      <x:c r="M43" s="538"/>
      <x:c r="N43" s="538"/>
      <x:c r="O43" s="538"/>
    </x:row>
    <x:row r="44" ht="18" customHeight="1">
      <x:c r="A44" s="538"/>
      <x:c r="B44" s="746"/>
      <x:c r="C44" s="746"/>
      <x:c r="D44" s="746"/>
      <x:c r="E44" s="746"/>
      <x:c r="F44" s="746"/>
      <x:c r="G44" s="538"/>
      <x:c r="H44" s="538"/>
      <x:c r="I44" s="538"/>
      <x:c r="J44" s="538"/>
      <x:c r="K44" s="538"/>
      <x:c r="L44" s="538"/>
      <x:c r="M44" s="538"/>
      <x:c r="N44" s="538"/>
      <x:c r="O44" s="538"/>
    </x:row>
    <x:row r="45" ht="18" customHeight="1">
      <x:c r="A45" s="777" t="str">
        <x:v>DEFERRED TAX LIABILITY ROLL-FORWARD</x:v>
      </x:c>
      <x:c r="B45" s="806"/>
      <x:c r="C45" s="806"/>
      <x:c r="D45" s="806"/>
      <x:c r="E45" s="806"/>
      <x:c r="F45" s="806"/>
      <x:c r="G45" s="777"/>
      <x:c r="H45" s="777" t="str">
        <x:v>RECONCILIATION CHECKS</x:v>
      </x:c>
      <x:c r="I45" s="777"/>
      <x:c r="J45" s="777"/>
      <x:c r="K45" s="777"/>
      <x:c r="L45" s="777"/>
      <x:c r="M45" s="777"/>
      <x:c r="N45" s="777"/>
      <x:c r="O45" s="777"/>
    </x:row>
    <x:row r="46" ht="18" customHeight="1">
      <x:c r="A46" s="779" t="str">
        <x:v>Beginning DTL</x:v>
      </x:c>
      <x:c r="B46" s="744" t="n">
        <x:f>$I$15</x:f>
        <x:v>1102.203648</x:v>
      </x:c>
      <x:c r="C46" s="744" t="n">
        <x:f>B48</x:f>
        <x:v>1039.5906751999999</x:v>
      </x:c>
      <x:c r="D46" s="744" t="n">
        <x:f>C48</x:f>
        <x:v>921.4301375999999</x:v>
      </x:c>
      <x:c r="E46" s="744" t="n">
        <x:f>D48</x:f>
        <x:v>817.4004159999998</x:v>
      </x:c>
      <x:c r="F46" s="744" t="n">
        <x:f>E48</x:f>
        <x:v>720.4361023999999</x:v>
      </x:c>
      <x:c r="G46" s="538"/>
      <x:c r="H46" s="779" t="str">
        <x:v>Purchase consideration bridge</x:v>
      </x:c>
      <x:c r="I46" s="807" t="n">
        <x:f>I6-I16-I17</x:f>
        <x:v>0</x:v>
      </x:c>
      <x:c r="J46" s="664" t="str">
        <x:v>Must equal zero</x:v>
      </x:c>
      <x:c r="K46" s="664"/>
      <x:c r="L46" s="664"/>
      <x:c r="M46" s="664"/>
      <x:c r="N46" s="664"/>
      <x:c r="O46" s="664"/>
    </x:row>
    <x:row r="47" ht="18" customHeight="1">
      <x:c r="A47" s="779" t="str">
        <x:v>Less: DTL reversal</x:v>
      </x:c>
      <x:c r="B47" s="744" t="n">
        <x:f>B42</x:f>
        <x:v>62.61297279999999</x:v>
      </x:c>
      <x:c r="C47" s="744" t="n">
        <x:f>C42</x:f>
        <x:v>118.1605376</x:v>
      </x:c>
      <x:c r="D47" s="744" t="n">
        <x:f>D42</x:f>
        <x:v>104.02972159999997</x:v>
      </x:c>
      <x:c r="E47" s="744" t="n">
        <x:f>E42</x:f>
        <x:v>96.96431359999998</x:v>
      </x:c>
      <x:c r="F47" s="744" t="n">
        <x:f>F42</x:f>
        <x:v>96.96431359999998</x:v>
      </x:c>
      <x:c r="G47" s="538"/>
      <x:c r="H47" s="779" t="str">
        <x:v>Allocation percentage total</x:v>
      </x:c>
      <x:c r="I47" s="808" t="n">
        <x:f>B24</x:f>
        <x:v>0.39</x:v>
      </x:c>
      <x:c r="J47" s="664" t="str">
        <x:v>39.0% of consideration assigned to identifiable asset write-ups</x:v>
      </x:c>
      <x:c r="K47" s="664"/>
      <x:c r="L47" s="664"/>
      <x:c r="M47" s="664"/>
      <x:c r="N47" s="664"/>
      <x:c r="O47" s="664"/>
    </x:row>
    <x:row r="48" ht="18" customHeight="1">
      <x:c r="A48" s="779" t="str">
        <x:v>Ending DTL</x:v>
      </x:c>
      <x:c r="B48" s="807" t="n">
        <x:f>MAX(0,B46-B47)</x:f>
        <x:v>1039.5906751999999</x:v>
      </x:c>
      <x:c r="C48" s="807" t="n">
        <x:f>MAX(0,C46-C47)</x:f>
        <x:v>921.4301375999999</x:v>
      </x:c>
      <x:c r="D48" s="807" t="n">
        <x:f>MAX(0,D46-D47)</x:f>
        <x:v>817.4004159999998</x:v>
      </x:c>
      <x:c r="E48" s="807" t="n">
        <x:f>MAX(0,E46-E47)</x:f>
        <x:v>720.4361023999999</x:v>
      </x:c>
      <x:c r="F48" s="807" t="n">
        <x:f>MAX(0,F46-F47)</x:f>
        <x:v>623.4717887999999</x:v>
      </x:c>
      <x:c r="G48" s="538"/>
      <x:c r="H48" s="779" t="str">
        <x:v>Goodwill positive</x:v>
      </x:c>
      <x:c r="I48" s="807" t="n">
        <x:f>I17</x:f>
        <x:v>8127.828847999998</x:v>
      </x:c>
      <x:c r="J48" s="664" t="str">
        <x:v>Residual goodwill must remain greater than zero</x:v>
      </x:c>
      <x:c r="K48" s="664"/>
      <x:c r="L48" s="664"/>
      <x:c r="M48" s="664"/>
      <x:c r="N48" s="664"/>
      <x:c r="O48" s="664"/>
    </x:row>
    <x:row r="49" ht="18" customHeight="1">
      <x:c r="A49" s="538"/>
      <x:c r="B49" s="538"/>
      <x:c r="C49" s="538"/>
      <x:c r="D49" s="538"/>
      <x:c r="E49" s="538"/>
      <x:c r="F49" s="538"/>
      <x:c r="G49" s="538"/>
      <x:c r="H49" s="779" t="str">
        <x:v>First-year expense tie-out</x:v>
      </x:c>
      <x:c r="I49" s="807" t="n">
        <x:f>I27-B43</x:f>
        <x:v>0</x:v>
      </x:c>
      <x:c r="J49" s="664" t="str">
        <x:v>Key output must equal the detailed schedule</x:v>
      </x:c>
      <x:c r="K49" s="664"/>
      <x:c r="L49" s="664"/>
      <x:c r="M49" s="664"/>
      <x:c r="N49" s="664"/>
      <x:c r="O49" s="664"/>
    </x:row>
    <x:row r="50" ht="18" customHeight="1">
      <x:c r="A50" s="538"/>
      <x:c r="B50" s="538"/>
      <x:c r="C50" s="538"/>
      <x:c r="D50" s="538"/>
      <x:c r="E50" s="538"/>
      <x:c r="F50" s="538"/>
      <x:c r="G50" s="538"/>
      <x:c r="H50" s="538"/>
      <x:c r="I50" s="538"/>
      <x:c r="J50" s="538"/>
      <x:c r="K50" s="538"/>
      <x:c r="L50" s="538"/>
      <x:c r="M50" s="538"/>
      <x:c r="N50" s="538"/>
      <x:c r="O50" s="538"/>
    </x:row>
    <x:row r="51" ht="18" customHeight="1">
      <x:c r="A51" s="777" t="str">
        <x:v>ANALYST INTERPRETATION</x:v>
      </x:c>
      <x:c r="B51" s="777"/>
      <x:c r="C51" s="777"/>
      <x:c r="D51" s="777"/>
      <x:c r="E51" s="777"/>
      <x:c r="F51" s="777"/>
      <x:c r="G51" s="777"/>
      <x:c r="H51" s="777"/>
      <x:c r="I51" s="777"/>
      <x:c r="J51" s="777"/>
      <x:c r="K51" s="777"/>
      <x:c r="L51" s="777"/>
      <x:c r="M51" s="777"/>
      <x:c r="N51" s="777"/>
      <x:c r="O51" s="777"/>
    </x:row>
    <x:row r="52" ht="30" customHeight="1">
      <x:c r="A52" s="792" t="str">
        <x:v>The preliminary allocation creates approximately $8.2 billion of goodwill because the $80 offer materially exceeds Cognex’s tangible book value and the identifiable technology, customer, brand, backlog, inventory, and PP&amp;E values assigned in this merger model.</x:v>
      </x:c>
      <x:c r="B52" s="792"/>
      <x:c r="C52" s="792"/>
      <x:c r="D52" s="792"/>
      <x:c r="E52" s="792"/>
      <x:c r="F52" s="792"/>
      <x:c r="G52" s="792"/>
      <x:c r="H52" s="792"/>
      <x:c r="I52" s="792"/>
      <x:c r="J52" s="792"/>
      <x:c r="K52" s="792"/>
      <x:c r="L52" s="792"/>
      <x:c r="M52" s="792"/>
      <x:c r="N52" s="792"/>
      <x:c r="O52" s="792"/>
    </x:row>
    <x:row r="53" ht="30" customHeight="1">
      <x:c r="A53" s="792" t="str">
        <x:v>Goodwill is not amortized, but the acquired intangible and stepped-up tangible assets create material non-cash expense. The first-year schedule reflects six months of ownership based on a March 31 close and Rockwell’s September fiscal year-end.</x:v>
      </x:c>
      <x:c r="B53" s="792"/>
      <x:c r="C53" s="792"/>
      <x:c r="D53" s="792"/>
      <x:c r="E53" s="792"/>
      <x:c r="F53" s="792"/>
      <x:c r="G53" s="792"/>
      <x:c r="H53" s="792"/>
      <x:c r="I53" s="792"/>
      <x:c r="J53" s="792"/>
      <x:c r="K53" s="792"/>
      <x:c r="L53" s="792"/>
      <x:c r="M53" s="792"/>
      <x:c r="N53" s="792"/>
      <x:c r="O53" s="792"/>
    </x:row>
    <x:row r="54" ht="30" customHeight="1">
      <x:c r="A54" s="793" t="str">
        <x:v>This is an illustrative banking-model allocation, not a valuation report. An actual transaction would require specialist appraisals, legal-entity tax analysis, and management estimates before the opening balance sheet could be finalized.</x:v>
      </x:c>
      <x:c r="B54" s="793"/>
      <x:c r="C54" s="793"/>
      <x:c r="D54" s="793"/>
      <x:c r="E54" s="793"/>
      <x:c r="F54" s="793"/>
      <x:c r="G54" s="793"/>
      <x:c r="H54" s="793"/>
      <x:c r="I54" s="793"/>
      <x:c r="J54" s="793"/>
      <x:c r="K54" s="793"/>
      <x:c r="L54" s="793"/>
      <x:c r="M54" s="793"/>
      <x:c r="N54" s="793"/>
      <x:c r="O54" s="793"/>
    </x:row>
  </x:sheetData>
  <x:mergeCells>
    <x:mergeCell ref="A1:O1"/>
    <x:mergeCell ref="A2:O2"/>
    <x:mergeCell ref="B3:O3"/>
    <x:mergeCell ref="A5:F5"/>
    <x:mergeCell ref="E6:F6"/>
    <x:mergeCell ref="E7:F7"/>
    <x:mergeCell ref="E8:F8"/>
    <x:mergeCell ref="E9:F9"/>
    <x:mergeCell ref="E10:F10"/>
    <x:mergeCell ref="E11:F11"/>
    <x:mergeCell ref="E12:F12"/>
    <x:mergeCell ref="E13:F13"/>
    <x:mergeCell ref="E14:F14"/>
    <x:mergeCell ref="A16:F16"/>
    <x:mergeCell ref="H5:O5"/>
    <x:mergeCell ref="J6:O6"/>
    <x:mergeCell ref="J7:O7"/>
    <x:mergeCell ref="J8:O8"/>
    <x:mergeCell ref="J9:O9"/>
    <x:mergeCell ref="J10:O10"/>
    <x:mergeCell ref="J11:O11"/>
    <x:mergeCell ref="J12:O12"/>
    <x:mergeCell ref="J13:O13"/>
    <x:mergeCell ref="J14:O14"/>
    <x:mergeCell ref="J15:O15"/>
    <x:mergeCell ref="J16:O16"/>
    <x:mergeCell ref="J17:O17"/>
    <x:mergeCell ref="J18:O18"/>
    <x:mergeCell ref="H20:O20"/>
    <x:mergeCell ref="J21:O21"/>
    <x:mergeCell ref="J22:O22"/>
    <x:mergeCell ref="J23:O23"/>
    <x:mergeCell ref="J24:O24"/>
    <x:mergeCell ref="J25:O25"/>
    <x:mergeCell ref="J26:O26"/>
    <x:mergeCell ref="J27:O27"/>
    <x:mergeCell ref="A29:O29"/>
    <x:mergeCell ref="A45:G45"/>
    <x:mergeCell ref="H45:O45"/>
    <x:mergeCell ref="J46:O46"/>
    <x:mergeCell ref="J47:O47"/>
    <x:mergeCell ref="J48:O48"/>
    <x:mergeCell ref="J49:O49"/>
    <x:mergeCell ref="A51:O51"/>
    <x:mergeCell ref="A52:O52"/>
    <x:mergeCell ref="A53:O53"/>
    <x:mergeCell ref="A54:O54"/>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37" hidden="0" customWidth="1"/>
    <x:col min="2" max="2" width="15" hidden="0" customWidth="1"/>
    <x:col min="3" max="3" width="15" hidden="0" customWidth="1"/>
    <x:col min="4" max="4" width="15" hidden="0" customWidth="1"/>
    <x:col min="5" max="5" width="15" hidden="0" customWidth="1"/>
    <x:col min="6" max="6" width="26" hidden="0" customWidth="1"/>
    <x:col min="7" max="7" width="3" hidden="0" customWidth="1"/>
    <x:col min="8" max="8" width="40" hidden="0" customWidth="1"/>
    <x:col min="9" max="9" width="16" hidden="0" customWidth="1"/>
    <x:col min="10" max="10" width="16" hidden="0" customWidth="1"/>
    <x:col min="11" max="11" width="16" hidden="0" customWidth="1"/>
    <x:col min="12" max="12" width="16" hidden="0" customWidth="1"/>
    <x:col min="13" max="13" width="30" hidden="0" customWidth="1"/>
    <x:col min="14" max="14" width="18" hidden="0" customWidth="1"/>
    <x:col min="15" max="15" width="18" hidden="0" customWidth="1"/>
  </x:cols>
  <x:sheetData>
    <x:row r="1" ht="28" customHeight="1">
      <x:c r="A1" s="816" t="str">
        <x:v>Accretion / Dilution Analysis</x:v>
      </x:c>
      <x:c r="B1" s="816"/>
      <x:c r="C1" s="816"/>
      <x:c r="D1" s="816"/>
      <x:c r="E1" s="816"/>
      <x:c r="F1" s="816"/>
      <x:c r="G1" s="816"/>
      <x:c r="H1" s="816"/>
      <x:c r="I1" s="816"/>
      <x:c r="J1" s="816"/>
      <x:c r="K1" s="816"/>
      <x:c r="L1" s="816"/>
      <x:c r="M1" s="816"/>
      <x:c r="N1" s="816"/>
      <x:c r="O1" s="816"/>
    </x:row>
    <x:row r="2" ht="18" customHeight="1">
      <x:c r="A2" s="818" t="str">
        <x:v>Pro forma earnings, financing costs, purchase-accounting effects, share issuance, and EPS impact | USD millions except per-share data</x:v>
      </x:c>
      <x:c r="B2" s="818"/>
      <x:c r="C2" s="818"/>
      <x:c r="D2" s="818"/>
      <x:c r="E2" s="818"/>
      <x:c r="F2" s="818"/>
      <x:c r="G2" s="818"/>
      <x:c r="H2" s="818"/>
      <x:c r="I2" s="818"/>
      <x:c r="J2" s="818"/>
      <x:c r="K2" s="818"/>
      <x:c r="L2" s="818"/>
      <x:c r="M2" s="818"/>
      <x:c r="N2" s="818"/>
      <x:c r="O2" s="818"/>
    </x:row>
    <x:row r="3" ht="18" customHeight="1">
      <x:c r="A3" s="432" t="str">
        <x:v>Status</x:v>
      </x:c>
      <x:c r="B3" s="820" t="str">
        <x:v>Complete — base case excludes synergies and one-time transaction fees from headline recurring EPS</x:v>
      </x:c>
      <x:c r="C3" s="820"/>
      <x:c r="D3" s="820"/>
      <x:c r="E3" s="820"/>
      <x:c r="F3" s="820"/>
      <x:c r="G3" s="820"/>
      <x:c r="H3" s="820"/>
      <x:c r="I3" s="820"/>
      <x:c r="J3" s="820"/>
      <x:c r="K3" s="820"/>
      <x:c r="L3" s="820"/>
      <x:c r="M3" s="820"/>
      <x:c r="N3" s="820"/>
      <x:c r="O3" s="820"/>
    </x:row>
    <x:row r="4" ht="18" customHeight="1">
      <x:c r="A4" s="538"/>
      <x:c r="B4" s="538"/>
      <x:c r="C4" s="538"/>
      <x:c r="D4" s="538"/>
      <x:c r="E4" s="538"/>
      <x:c r="F4" s="538"/>
      <x:c r="G4" s="538"/>
      <x:c r="H4" s="538"/>
      <x:c r="I4" s="538"/>
      <x:c r="J4" s="538"/>
      <x:c r="K4" s="538"/>
      <x:c r="L4" s="538"/>
      <x:c r="M4" s="538"/>
      <x:c r="N4" s="538"/>
      <x:c r="O4" s="538"/>
    </x:row>
    <x:row r="5" ht="18" customHeight="1">
      <x:c r="A5" s="822" t="str">
        <x:v>TRANSACTION AND MODEL INPUTS</x:v>
      </x:c>
      <x:c r="B5" s="822"/>
      <x:c r="C5" s="822"/>
      <x:c r="D5" s="822"/>
      <x:c r="E5" s="822"/>
      <x:c r="F5" s="822"/>
      <x:c r="G5" s="538"/>
      <x:c r="H5" s="822" t="str">
        <x:v>KEY OUTPUTS</x:v>
      </x:c>
      <x:c r="I5" s="822"/>
      <x:c r="J5" s="822"/>
      <x:c r="K5" s="822"/>
      <x:c r="L5" s="822"/>
      <x:c r="M5" s="822"/>
      <x:c r="N5" s="822"/>
      <x:c r="O5" s="822"/>
    </x:row>
    <x:row r="6" ht="25" customHeight="1">
      <x:c r="A6" s="824" t="str">
        <x:v>First-year ownership</x:v>
      </x:c>
      <x:c r="B6" s="733" t="n">
        <x:f>'Purchase Accounting'!B13/'Purchase Accounting'!B12</x:f>
        <x:v>0.5</x:v>
      </x:c>
      <x:c r="C6" s="436" t="str">
        <x:v>% of year</x:v>
      </x:c>
      <x:c r="D6" s="436" t="str">
        <x:v>Purchase Accounting</x:v>
      </x:c>
      <x:c r="E6" s="664" t="str">
        <x:v>Six months from March 31 close through Rockwell’s September 30 fiscal year-end</x:v>
      </x:c>
      <x:c r="F6" s="664"/>
      <x:c r="G6" s="538"/>
      <x:c r="H6" s="824" t="str">
        <x:v>FY2027E EPS accretion / (dilution) — incl. PPA</x:v>
      </x:c>
      <x:c r="I6" s="840" t="n">
        <x:f>B41</x:f>
        <x:v>-0.20507774150422142</x:v>
      </x:c>
      <x:c r="J6" s="664" t="str">
        <x:v>Headline recurring result on Rockwell’s adjusted-earnings base</x:v>
      </x:c>
      <x:c r="K6" s="664"/>
      <x:c r="L6" s="664"/>
      <x:c r="M6" s="664"/>
      <x:c r="N6" s="664"/>
      <x:c r="O6" s="664"/>
    </x:row>
    <x:row r="7" ht="25" customHeight="1">
      <x:c r="A7" s="824" t="str">
        <x:v>Buyer tax rate</x:v>
      </x:c>
      <x:c r="B7" s="733" t="n">
        <x:f>'Purchase Accounting'!B11</x:f>
        <x:v>0.21</x:v>
      </x:c>
      <x:c r="C7" s="436" t="str">
        <x:v>%</x:v>
      </x:c>
      <x:c r="D7" s="436" t="str">
        <x:v>Purchase Accounting</x:v>
      </x:c>
      <x:c r="E7" s="664" t="str">
        <x:v>Applied to incremental financing costs and breakeven synergies</x:v>
      </x:c>
      <x:c r="F7" s="664"/>
      <x:c r="G7" s="538"/>
      <x:c r="H7" s="824" t="str">
        <x:v>FY2027E adjusted accretion / (dilution) — excl. PPA</x:v>
      </x:c>
      <x:c r="I7" s="840" t="n">
        <x:f>B45</x:f>
        <x:v>-0.06681149114314067</x:v>
      </x:c>
      <x:c r="J7" s="664" t="str">
        <x:v>Excludes acquisition-related PPA expense but retains financing costs and dilution</x:v>
      </x:c>
      <x:c r="K7" s="664"/>
      <x:c r="L7" s="664"/>
      <x:c r="M7" s="664"/>
      <x:c r="N7" s="664"/>
      <x:c r="O7" s="664"/>
    </x:row>
    <x:row r="8" ht="25" customHeight="1">
      <x:c r="A8" s="824" t="str">
        <x:v>Foregone cash yield</x:v>
      </x:c>
      <x:c r="B8" s="838" t="n">
        <x:v>0.04</x:v>
      </x:c>
      <x:c r="C8" s="436" t="str">
        <x:v>%</x:v>
      </x:c>
      <x:c r="D8" s="436" t="str">
        <x:v>Analyst assumption</x:v>
      </x:c>
      <x:c r="E8" s="664" t="str">
        <x:v>Pre-tax return forgone on Rockwell cash used at closing</x:v>
      </x:c>
      <x:c r="F8" s="664"/>
      <x:c r="G8" s="538"/>
      <x:c r="H8" s="824" t="str">
        <x:v>FY2028E EPS accretion / (dilution) — incl. PPA</x:v>
      </x:c>
      <x:c r="I8" s="840" t="n">
        <x:f>C41</x:f>
        <x:v>-0.33805997212936467</x:v>
      </x:c>
      <x:c r="J8" s="664" t="str">
        <x:v>First full fiscal-year result</x:v>
      </x:c>
      <x:c r="K8" s="664"/>
      <x:c r="L8" s="664"/>
      <x:c r="M8" s="664"/>
      <x:c r="N8" s="664"/>
      <x:c r="O8" s="664"/>
    </x:row>
    <x:row r="9" ht="25" customHeight="1">
      <x:c r="A9" s="824" t="str">
        <x:v>Debt-fee amortization period</x:v>
      </x:c>
      <x:c r="B9" s="839" t="n">
        <x:v>5</x:v>
      </x:c>
      <x:c r="C9" s="436" t="str">
        <x:v>years</x:v>
      </x:c>
      <x:c r="D9" s="436" t="str">
        <x:v>Analyst assumption</x:v>
      </x:c>
      <x:c r="E9" s="664" t="str">
        <x:v>Straight-line amortization of upfront debt fees</x:v>
      </x:c>
      <x:c r="F9" s="664"/>
      <x:c r="G9" s="538"/>
      <x:c r="H9" s="824" t="str">
        <x:v>FY2028E adjusted accretion / (dilution) — excl. PPA</x:v>
      </x:c>
      <x:c r="I9" s="840" t="n">
        <x:f>C45</x:f>
        <x:v>-0.11056396062894436</x:v>
      </x:c>
      <x:c r="J9" s="664" t="str">
        <x:v>Shows underlying dilution before acquisition-accounting expense</x:v>
      </x:c>
      <x:c r="K9" s="664"/>
      <x:c r="L9" s="664"/>
      <x:c r="M9" s="664"/>
      <x:c r="N9" s="664"/>
      <x:c r="O9" s="664"/>
    </x:row>
    <x:row r="10" ht="25" customHeight="1">
      <x:c r="A10" s="824" t="str">
        <x:v>Transaction-fee tax deductibility</x:v>
      </x:c>
      <x:c r="B10" s="838" t="n">
        <x:v>0</x:v>
      </x:c>
      <x:c r="C10" s="436" t="str">
        <x:v>% deductible</x:v>
      </x:c>
      <x:c r="D10" s="436" t="str">
        <x:v>Analyst assumption</x:v>
      </x:c>
      <x:c r="E10" s="664" t="str">
        <x:v>Conservative assumption; actual deductibility depends on fee type and structure</x:v>
      </x:c>
      <x:c r="F10" s="664"/>
      <x:c r="G10" s="538"/>
      <x:c r="H10" s="824" t="str">
        <x:v>FY2027E annualized breakeven synergies — incl. PPA</x:v>
      </x:c>
      <x:c r="I10" s="841" t="n">
        <x:f>I24</x:f>
        <x:v>884.4583077701694</x:v>
      </x:c>
      <x:c r="J10" s="664" t="str">
        <x:v>Pre-tax run-rate needed to offset PPA, financing costs, and new shares</x:v>
      </x:c>
      <x:c r="K10" s="664"/>
      <x:c r="L10" s="664"/>
      <x:c r="M10" s="664"/>
      <x:c r="N10" s="664"/>
      <x:c r="O10" s="664"/>
    </x:row>
    <x:row r="11" ht="25" customHeight="1">
      <x:c r="A11" s="824" t="str">
        <x:v>New debt</x:v>
      </x:c>
      <x:c r="B11" s="794" t="n">
        <x:f>'Sources &amp; Uses'!B41</x:f>
        <x:v>4000</x:v>
      </x:c>
      <x:c r="C11" s="436" t="str">
        <x:v>$mm</x:v>
      </x:c>
      <x:c r="D11" s="436" t="str">
        <x:v>Sources &amp; Uses</x:v>
      </x:c>
      <x:c r="E11" s="664" t="str">
        <x:v>Term loan / bridge plus senior notes</x:v>
      </x:c>
      <x:c r="F11" s="664"/>
      <x:c r="G11" s="538"/>
      <x:c r="H11" s="824" t="str">
        <x:v>FY2027E annualized breakeven synergies — excl. PPA</x:v>
      </x:c>
      <x:c r="I11" s="841" t="n">
        <x:f>I30</x:f>
        <x:v>288.1442811035027</x:v>
      </x:c>
      <x:c r="J11" s="664" t="str">
        <x:v>Pre-tax run-rate needed to offset financing costs and new shares only</x:v>
      </x:c>
      <x:c r="K11" s="664"/>
      <x:c r="L11" s="664"/>
      <x:c r="M11" s="664"/>
      <x:c r="N11" s="664"/>
      <x:c r="O11" s="664"/>
    </x:row>
    <x:row r="12" ht="25" customHeight="1">
      <x:c r="A12" s="824" t="str">
        <x:v>New debt interest rate</x:v>
      </x:c>
      <x:c r="B12" s="733" t="n">
        <x:f>'Sources &amp; Uses'!B16</x:f>
        <x:v>0.06</x:v>
      </x:c>
      <x:c r="C12" s="436" t="str">
        <x:v>%</x:v>
      </x:c>
      <x:c r="D12" s="436" t="str">
        <x:v>Sources &amp; Uses</x:v>
      </x:c>
      <x:c r="E12" s="664" t="str">
        <x:v>Blended pre-tax rate</x:v>
      </x:c>
      <x:c r="F12" s="664"/>
      <x:c r="G12" s="538"/>
      <x:c r="H12" s="824" t="str">
        <x:v>FY2027E headline EPS result</x:v>
      </x:c>
      <x:c r="I12" s="827" t="str">
        <x:f>IF(I6&gt;=0,"Accretive","Dilutive")</x:f>
        <x:v>Dilutive</x:v>
      </x:c>
      <x:c r="J12" s="664" t="str">
        <x:v>Negative EPS change means dilution</x:v>
      </x:c>
      <x:c r="K12" s="664"/>
      <x:c r="L12" s="664"/>
      <x:c r="M12" s="664"/>
      <x:c r="N12" s="664"/>
      <x:c r="O12" s="664"/>
    </x:row>
    <x:row r="13" ht="25" customHeight="1">
      <x:c r="A13" s="824" t="str">
        <x:v>ROK cash used</x:v>
      </x:c>
      <x:c r="B13" s="794" t="n">
        <x:f>'Sources &amp; Uses'!I21</x:f>
        <x:v>211.95520000000033</x:v>
      </x:c>
      <x:c r="C13" s="436" t="str">
        <x:v>$mm</x:v>
      </x:c>
      <x:c r="D13" s="436" t="str">
        <x:v>Sources &amp; Uses</x:v>
      </x:c>
      <x:c r="E13" s="664" t="str">
        <x:v>Balance-sheet cash used as a transaction source</x:v>
      </x:c>
      <x:c r="F13" s="664"/>
      <x:c r="G13" s="538"/>
      <x:c r="H13" s="824" t="str">
        <x:v>FY2028E headline EPS result</x:v>
      </x:c>
      <x:c r="I13" s="827" t="str">
        <x:f>IF(I8&gt;=0,"Accretive","Dilutive")</x:f>
        <x:v>Dilutive</x:v>
      </x:c>
      <x:c r="J13" s="664" t="str">
        <x:v>Negative EPS change means dilution</x:v>
      </x:c>
      <x:c r="K13" s="664"/>
      <x:c r="L13" s="664"/>
      <x:c r="M13" s="664"/>
      <x:c r="N13" s="664"/>
      <x:c r="O13" s="664"/>
    </x:row>
    <x:row r="14" ht="25" customHeight="1">
      <x:c r="A14" s="824" t="str">
        <x:v>Debt financing fees</x:v>
      </x:c>
      <x:c r="B14" s="794" t="n">
        <x:f>'Sources &amp; Uses'!B25</x:f>
        <x:v>40</x:v>
      </x:c>
      <x:c r="C14" s="436" t="str">
        <x:v>$mm</x:v>
      </x:c>
      <x:c r="D14" s="436" t="str">
        <x:v>Sources &amp; Uses</x:v>
      </x:c>
      <x:c r="E14" s="664" t="str">
        <x:v>Capitalized and amortized through interest expense</x:v>
      </x:c>
      <x:c r="F14" s="664"/>
      <x:c r="G14" s="538"/>
      <x:c r="H14" s="824" t="str">
        <x:v>Target holders’ pro forma ownership</x:v>
      </x:c>
      <x:c r="I14" s="842" t="n">
        <x:f>'Sources &amp; Uses'!I36</x:f>
        <x:v>0.1629086315972937</x:v>
      </x:c>
      <x:c r="J14" s="664" t="str">
        <x:v>Target shareholders participate in the combined company through stock consideration</x:v>
      </x:c>
      <x:c r="K14" s="664"/>
      <x:c r="L14" s="664"/>
      <x:c r="M14" s="664"/>
      <x:c r="N14" s="664"/>
      <x:c r="O14" s="664"/>
    </x:row>
    <x:row r="15" ht="24" customHeight="1">
      <x:c r="A15" s="824" t="str">
        <x:v>One-time transaction fees</x:v>
      </x:c>
      <x:c r="B15" s="794" t="n">
        <x:f>'Sources &amp; Uses'!B24</x:f>
        <x:v>134.5792</x:v>
      </x:c>
      <x:c r="C15" s="436" t="str">
        <x:v>$mm</x:v>
      </x:c>
      <x:c r="D15" s="436" t="str">
        <x:v>Sources &amp; Uses</x:v>
      </x:c>
      <x:c r="E15" s="664" t="str">
        <x:v>Excluded from headline recurring EPS; shown separately</x:v>
      </x:c>
      <x:c r="F15" s="664"/>
      <x:c r="G15" s="538"/>
      <x:c r="H15" s="538"/>
      <x:c r="I15" s="538"/>
      <x:c r="J15" s="538"/>
      <x:c r="K15" s="538"/>
      <x:c r="L15" s="538"/>
      <x:c r="M15" s="538"/>
      <x:c r="N15" s="538"/>
      <x:c r="O15" s="538"/>
    </x:row>
    <x:row r="16" ht="24" customHeight="1">
      <x:c r="A16" s="824" t="str">
        <x:v>New ROK shares issued</x:v>
      </x:c>
      <x:c r="B16" s="560" t="n">
        <x:f>'Sources &amp; Uses'!I33</x:f>
        <x:v>21.834613512573874</x:v>
      </x:c>
      <x:c r="C16" s="436" t="str">
        <x:v>mm shares</x:v>
      </x:c>
      <x:c r="D16" s="436" t="str">
        <x:v>Sources &amp; Uses</x:v>
      </x:c>
      <x:c r="E16" s="664" t="str">
        <x:v>Direct stock consideration divided by Rockwell share price</x:v>
      </x:c>
      <x:c r="F16" s="664"/>
      <x:c r="G16" s="538"/>
      <x:c r="H16" s="538"/>
      <x:c r="I16" s="538"/>
      <x:c r="J16" s="538"/>
      <x:c r="K16" s="538"/>
      <x:c r="L16" s="538"/>
      <x:c r="M16" s="538"/>
      <x:c r="N16" s="538"/>
      <x:c r="O16" s="538"/>
    </x:row>
    <x:row r="17" ht="18" customHeight="1">
      <x:c r="A17" s="538"/>
      <x:c r="B17" s="538"/>
      <x:c r="C17" s="538"/>
      <x:c r="D17" s="538"/>
      <x:c r="E17" s="538"/>
      <x:c r="F17" s="538"/>
      <x:c r="G17" s="538"/>
      <x:c r="H17" s="538"/>
      <x:c r="I17" s="538"/>
      <x:c r="J17" s="538"/>
      <x:c r="K17" s="538"/>
      <x:c r="L17" s="538"/>
      <x:c r="M17" s="538"/>
      <x:c r="N17" s="538"/>
      <x:c r="O17" s="538"/>
    </x:row>
    <x:row r="18" ht="18" customHeight="1">
      <x:c r="A18" s="538"/>
      <x:c r="B18" s="538"/>
      <x:c r="C18" s="538"/>
      <x:c r="D18" s="538"/>
      <x:c r="E18" s="538"/>
      <x:c r="F18" s="538"/>
      <x:c r="G18" s="538"/>
      <x:c r="H18" s="538"/>
      <x:c r="I18" s="538"/>
      <x:c r="J18" s="538"/>
      <x:c r="K18" s="538"/>
      <x:c r="L18" s="538"/>
      <x:c r="M18" s="538"/>
      <x:c r="N18" s="538"/>
      <x:c r="O18" s="538"/>
    </x:row>
    <x:row r="19" ht="18" customHeight="1">
      <x:c r="A19" s="822" t="str">
        <x:v>PRO FORMA EARNINGS AND EPS</x:v>
      </x:c>
      <x:c r="B19" s="822"/>
      <x:c r="C19" s="822"/>
      <x:c r="D19" s="822"/>
      <x:c r="E19" s="822"/>
      <x:c r="F19" s="822"/>
      <x:c r="G19" s="822"/>
      <x:c r="H19" s="822" t="str">
        <x:v>EPS BREAKEVEN SYNERGY ANALYSIS</x:v>
      </x:c>
      <x:c r="I19" s="822"/>
      <x:c r="J19" s="822"/>
      <x:c r="K19" s="822"/>
      <x:c r="L19" s="822"/>
      <x:c r="M19" s="822"/>
      <x:c r="N19" s="822"/>
      <x:c r="O19" s="822"/>
    </x:row>
    <x:row r="20" ht="18" customHeight="1">
      <x:c r="A20" s="824" t="str">
        <x:v>Fiscal year ended</x:v>
      </x:c>
      <x:c r="B20" s="843" t="n">
        <x:f>'Purchase Accounting'!B30</x:f>
        <x:v>46660</x:v>
      </x:c>
      <x:c r="C20" s="843" t="n">
        <x:f>'Purchase Accounting'!C30</x:f>
        <x:v>47026</x:v>
      </x:c>
      <x:c r="D20" s="843" t="n">
        <x:f>'Purchase Accounting'!D30</x:f>
        <x:v>47391</x:v>
      </x:c>
      <x:c r="E20" s="843" t="n">
        <x:f>'Purchase Accounting'!E30</x:f>
        <x:v>47756</x:v>
      </x:c>
      <x:c r="F20" s="664" t="str">
        <x:v>Source / calculation</x:v>
      </x:c>
      <x:c r="G20" s="664"/>
      <x:c r="H20" s="824" t="str">
        <x:v>Fiscal year ended</x:v>
      </x:c>
      <x:c r="I20" s="843" t="n">
        <x:f>B20</x:f>
        <x:v>46660</x:v>
      </x:c>
      <x:c r="J20" s="843" t="n">
        <x:f>C20</x:f>
        <x:v>47026</x:v>
      </x:c>
      <x:c r="K20" s="843" t="n">
        <x:f>D20</x:f>
        <x:v>47391</x:v>
      </x:c>
      <x:c r="L20" s="843" t="n">
        <x:f>E20</x:f>
        <x:v>47756</x:v>
      </x:c>
      <x:c r="M20" s="664" t="str">
        <x:v>Calculation</x:v>
      </x:c>
      <x:c r="N20" s="538"/>
      <x:c r="O20" s="538"/>
    </x:row>
    <x:row r="21" ht="18" customHeight="1">
      <x:c r="A21" s="824"/>
      <x:c r="B21" s="436"/>
      <x:c r="C21" s="436"/>
      <x:c r="D21" s="436"/>
      <x:c r="E21" s="436"/>
      <x:c r="F21" s="664"/>
      <x:c r="G21" s="664"/>
      <x:c r="H21" s="824"/>
      <x:c r="I21" s="436"/>
      <x:c r="J21" s="436"/>
      <x:c r="K21" s="436"/>
      <x:c r="L21" s="436"/>
      <x:c r="M21" s="664"/>
      <x:c r="N21" s="538"/>
      <x:c r="O21" s="538"/>
    </x:row>
    <x:row r="22" ht="18" customHeight="1">
      <x:c r="A22" s="824" t="str">
        <x:v>ROK standalone adjusted net income</x:v>
      </x:c>
      <x:c r="B22" s="794" t="n">
        <x:f>'ROK Forecast'!F14</x:f>
        <x:v>1551.3777816576</x:v>
      </x:c>
      <x:c r="C22" s="794" t="n">
        <x:f>'ROK Forecast'!G14</x:f>
        <x:v>1631.3047649685998</x:v>
      </x:c>
      <x:c r="D22" s="794" t="n">
        <x:f>'ROK Forecast'!H14</x:f>
        <x:v>1699.1670431912937</x:v>
      </x:c>
      <x:c r="E22" s="794" t="n">
        <x:f>'ROK Forecast'!I14</x:f>
        <x:v>1769.8523921880515</x:v>
      </x:c>
      <x:c r="F22" s="664" t="str">
        <x:v>ROK Forecast</x:v>
      </x:c>
      <x:c r="G22" s="664"/>
      <x:c r="H22" s="824" t="str">
        <x:v>After-tax earnings shortfall — including PPA</x:v>
      </x:c>
      <x:c r="I22" s="744" t="n">
        <x:f>MAX(0,B39*B38-B34)</x:f>
        <x:v>349.36103156921695</x:v>
      </x:c>
      <x:c r="J22" s="744" t="n">
        <x:f>MAX(0,C39*C38-C34)</x:f>
        <x:v>660.5416686035401</x:v>
      </x:c>
      <x:c r="K22" s="744" t="n">
        <x:f>MAX(0,D39*D38-D34)</x:f>
        <x:v>593.8283595643836</x:v>
      </x:c>
      <x:c r="L22" s="744" t="n">
        <x:f>MAX(0,E39*E38-E34)</x:f>
        <x:v>558.4884586515095</x:v>
      </x:c>
      <x:c r="M22" s="664" t="str">
        <x:v>Buyer EPS × pro forma shares less pro forma net income</x:v>
      </x:c>
      <x:c r="N22" s="538"/>
      <x:c r="O22" s="538"/>
    </x:row>
    <x:row r="23" ht="18" customHeight="1">
      <x:c r="A23" s="824" t="str">
        <x:v>CGNX standalone net income</x:v>
      </x:c>
      <x:c r="B23" s="794" t="n">
        <x:f>'CGNX Operating Model'!F37</x:f>
        <x:v>279.3364799999999</x:v>
      </x:c>
      <x:c r="C23" s="794" t="n">
        <x:f>'CGNX Operating Model'!G37</x:f>
        <x:v>309.19864320000005</x:v>
      </x:c>
      <x:c r="D23" s="794" t="n">
        <x:f>'CGNX Operating Model'!H37</x:f>
        <x:v>338.88386016</x:v>
      </x:c>
      <x:c r="E23" s="794" t="n">
        <x:f>'CGNX Operating Model'!I37</x:f>
        <x:v>364.58159558976</x:v>
      </x:c>
      <x:c r="F23" s="664" t="str">
        <x:v>CGNX Operating Model</x:v>
      </x:c>
      <x:c r="G23" s="664"/>
      <x:c r="H23" s="824" t="str">
        <x:v>Pre-tax synergies recognized — including PPA</x:v>
      </x:c>
      <x:c r="I23" s="744" t="n">
        <x:f>I22/(1-$B$7)</x:f>
        <x:v>442.2291538850847</x:v>
      </x:c>
      <x:c r="J23" s="744" t="n">
        <x:f>J22/(1-$B$7)</x:f>
        <x:v>836.1286944348608</x:v>
      </x:c>
      <x:c r="K23" s="744" t="n">
        <x:f>K22/(1-$B$7)</x:f>
        <x:v>751.6814678030172</x:v>
      </x:c>
      <x:c r="L23" s="744" t="n">
        <x:f>L22/(1-$B$7)</x:f>
        <x:v>706.947416014569</x:v>
      </x:c>
      <x:c r="M23" s="664" t="str">
        <x:v>After-tax shortfall ÷ (1 − tax rate)</x:v>
      </x:c>
      <x:c r="N23" s="538"/>
      <x:c r="O23" s="538"/>
    </x:row>
    <x:row r="24" ht="18" customHeight="1">
      <x:c r="A24" s="824" t="str">
        <x:v>Ownership factor</x:v>
      </x:c>
      <x:c r="B24" s="733" t="n">
        <x:f>$B$6</x:f>
        <x:v>0.5</x:v>
      </x:c>
      <x:c r="C24" s="733" t="n">
        <x:f>1</x:f>
        <x:v>1</x:v>
      </x:c>
      <x:c r="D24" s="733" t="n">
        <x:f>1</x:f>
        <x:v>1</x:v>
      </x:c>
      <x:c r="E24" s="733" t="n">
        <x:f>1</x:f>
        <x:v>1</x:v>
      </x:c>
      <x:c r="F24" s="664" t="str">
        <x:v>Close-date convention</x:v>
      </x:c>
      <x:c r="G24" s="664"/>
      <x:c r="H24" s="824" t="str">
        <x:v>Annualized pre-tax synergy run-rate — including PPA</x:v>
      </x:c>
      <x:c r="I24" s="847" t="n">
        <x:f>I23/B24</x:f>
        <x:v>884.4583077701694</x:v>
      </x:c>
      <x:c r="J24" s="847" t="n">
        <x:f>J23/C24</x:f>
        <x:v>836.1286944348608</x:v>
      </x:c>
      <x:c r="K24" s="847" t="n">
        <x:f>K23/D24</x:f>
        <x:v>751.6814678030172</x:v>
      </x:c>
      <x:c r="L24" s="847" t="n">
        <x:f>L23/E24</x:f>
        <x:v>706.947416014569</x:v>
      </x:c>
      <x:c r="M24" s="664" t="str">
        <x:v>Recognized synergies ÷ ownership factor</x:v>
      </x:c>
      <x:c r="N24" s="538"/>
      <x:c r="O24" s="538"/>
    </x:row>
    <x:row r="25" ht="18" customHeight="1">
      <x:c r="A25" s="824" t="str">
        <x:v>Acquired CGNX net income contribution</x:v>
      </x:c>
      <x:c r="B25" s="744" t="n">
        <x:f>B23*B24</x:f>
        <x:v>139.66823999999994</x:v>
      </x:c>
      <x:c r="C25" s="744" t="n">
        <x:f>C23*C24</x:f>
        <x:v>309.19864320000005</x:v>
      </x:c>
      <x:c r="D25" s="744" t="n">
        <x:f>D23*D24</x:f>
        <x:v>338.88386016</x:v>
      </x:c>
      <x:c r="E25" s="744" t="n">
        <x:f>E23*E24</x:f>
        <x:v>364.58159558976</x:v>
      </x:c>
      <x:c r="F25" s="664" t="str">
        <x:v>Target net income × ownership factor</x:v>
      </x:c>
      <x:c r="G25" s="664"/>
      <x:c r="H25" s="824" t="str">
        <x:v>Run-rate / CGNX revenue</x:v>
      </x:c>
      <x:c r="I25" s="848" t="n">
        <x:f>I24/'CGNX Operating Model'!F20</x:f>
        <x:v>0.7117803861018585</x:v>
      </x:c>
      <x:c r="J25" s="848" t="n">
        <x:f>J24/'CGNX Operating Model'!G20</x:f>
        <x:v>0.6230430030483132</x:v>
      </x:c>
      <x:c r="K25" s="848" t="n">
        <x:f>K24/'CGNX Operating Model'!H20</x:f>
        <x:v>0.5234738128801891</x:v>
      </x:c>
      <x:c r="L25" s="848" t="n">
        <x:f>L24/'CGNX Operating Model'!I20</x:f>
        <x:v>0.46227309885251616</x:v>
      </x:c>
      <x:c r="M25" s="664" t="str">
        <x:v>Annualized run-rate ÷ target revenue</x:v>
      </x:c>
      <x:c r="N25" s="538"/>
      <x:c r="O25" s="538"/>
    </x:row>
    <x:row r="26" ht="18" customHeight="1">
      <x:c r="A26" s="824"/>
      <x:c r="B26" s="716"/>
      <x:c r="C26" s="716"/>
      <x:c r="D26" s="716"/>
      <x:c r="E26" s="716"/>
      <x:c r="F26" s="664"/>
      <x:c r="G26" s="664"/>
      <x:c r="H26" s="824" t="str">
        <x:v>Run-rate / CGNX EBITDA</x:v>
      </x:c>
      <x:c r="I26" s="848" t="n">
        <x:f>I24/'CGNX Operating Model'!F32</x:f>
        <x:v>2.3965669565719154</x:v>
      </x:c>
      <x:c r="J26" s="848" t="n">
        <x:f>J24/'CGNX Operating Model'!G32</x:f>
        <x:v>2.042763944420699</x:v>
      </x:c>
      <x:c r="K26" s="848" t="n">
        <x:f>K24/'CGNX Operating Model'!H32</x:f>
        <x:v>1.677800682308299</x:v>
      </x:c>
      <x:c r="L26" s="848" t="n">
        <x:f>L24/'CGNX Operating Model'!I32</x:f>
        <x:v>1.4675336471508453</x:v>
      </x:c>
      <x:c r="M26" s="664" t="str">
        <x:v>Annualized run-rate ÷ target EBITDA</x:v>
      </x:c>
      <x:c r="N26" s="538"/>
      <x:c r="O26" s="538"/>
    </x:row>
    <x:row r="27" ht="18" customHeight="1">
      <x:c r="A27" s="824" t="str">
        <x:v>New debt interest expense</x:v>
      </x:c>
      <x:c r="B27" s="794" t="n">
        <x:f>$B$11*$B$12*B24</x:f>
        <x:v>120</x:v>
      </x:c>
      <x:c r="C27" s="794" t="n">
        <x:f>$B$11*$B$12*C24</x:f>
        <x:v>240</x:v>
      </x:c>
      <x:c r="D27" s="794" t="n">
        <x:f>$B$11*$B$12*D24</x:f>
        <x:v>240</x:v>
      </x:c>
      <x:c r="E27" s="794" t="n">
        <x:f>$B$11*$B$12*E24</x:f>
        <x:v>240</x:v>
      </x:c>
      <x:c r="F27" s="664" t="str">
        <x:v>New debt × interest rate × ownership</x:v>
      </x:c>
      <x:c r="G27" s="664"/>
      <x:c r="H27" s="824"/>
      <x:c r="I27" s="436"/>
      <x:c r="J27" s="436"/>
      <x:c r="K27" s="436"/>
      <x:c r="L27" s="436"/>
      <x:c r="M27" s="664"/>
      <x:c r="N27" s="538"/>
      <x:c r="O27" s="538"/>
    </x:row>
    <x:row r="28" ht="18" customHeight="1">
      <x:c r="A28" s="824" t="str">
        <x:v>Foregone cash interest income</x:v>
      </x:c>
      <x:c r="B28" s="794" t="n">
        <x:f>$B$13*$B$8*B24</x:f>
        <x:v>4.239104000000006</x:v>
      </x:c>
      <x:c r="C28" s="794" t="n">
        <x:f>$B$13*$B$8*C24</x:f>
        <x:v>8.478208000000013</x:v>
      </x:c>
      <x:c r="D28" s="794" t="n">
        <x:f>$B$13*$B$8*D24</x:f>
        <x:v>8.478208000000013</x:v>
      </x:c>
      <x:c r="E28" s="794" t="n">
        <x:f>$B$13*$B$8*E24</x:f>
        <x:v>8.478208000000013</x:v>
      </x:c>
      <x:c r="F28" s="664" t="str">
        <x:v>ROK cash used × foregone yield × ownership</x:v>
      </x:c>
      <x:c r="G28" s="664"/>
      <x:c r="H28" s="824" t="str">
        <x:v>After-tax earnings shortfall — excluding PPA</x:v>
      </x:c>
      <x:c r="I28" s="744" t="n">
        <x:f>MAX(0,B39*B38-B43)</x:f>
        <x:v>113.81699103588358</x:v>
      </x:c>
      <x:c r="J28" s="744" t="n">
        <x:f>MAX(0,C39*C38-C43)</x:f>
        <x:v>216.03297953687343</x:v>
      </x:c>
      <x:c r="K28" s="744" t="n">
        <x:f>MAX(0,D39*D38-D43)</x:f>
        <x:v>202.47845449771694</x:v>
      </x:c>
      <x:c r="L28" s="744" t="n">
        <x:f>MAX(0,E39*E38-E43)</x:f>
        <x:v>193.71794558484294</x:v>
      </x:c>
      <x:c r="M28" s="664" t="str">
        <x:v>Breakeven calculation before PPA expense</x:v>
      </x:c>
      <x:c r="N28" s="538"/>
      <x:c r="O28" s="538"/>
    </x:row>
    <x:row r="29" ht="18" customHeight="1">
      <x:c r="A29" s="824" t="str">
        <x:v>Debt-fee amortization</x:v>
      </x:c>
      <x:c r="B29" s="794" t="n">
        <x:f>($B$14/$B$9)*B24</x:f>
        <x:v>4</x:v>
      </x:c>
      <x:c r="C29" s="794" t="n">
        <x:f>($B$14/$B$9)*C24</x:f>
        <x:v>8</x:v>
      </x:c>
      <x:c r="D29" s="794" t="n">
        <x:f>($B$14/$B$9)*D24</x:f>
        <x:v>8</x:v>
      </x:c>
      <x:c r="E29" s="794" t="n">
        <x:f>($B$14/$B$9)*E24</x:f>
        <x:v>8</x:v>
      </x:c>
      <x:c r="F29" s="664" t="str">
        <x:v>Debt fees ÷ amortization period × ownership</x:v>
      </x:c>
      <x:c r="G29" s="664"/>
      <x:c r="H29" s="824" t="str">
        <x:v>Pre-tax synergies recognized — excluding PPA</x:v>
      </x:c>
      <x:c r="I29" s="744" t="n">
        <x:f>I28/(1-$B$7)</x:f>
        <x:v>144.07214055175135</x:v>
      </x:c>
      <x:c r="J29" s="744" t="n">
        <x:f>J28/(1-$B$7)</x:f>
        <x:v>273.4594677681942</x:v>
      </x:c>
      <x:c r="K29" s="744" t="n">
        <x:f>K28/(1-$B$7)</x:f>
        <x:v>256.30184113635056</x:v>
      </x:c>
      <x:c r="L29" s="744" t="n">
        <x:f>L28/(1-$B$7)</x:f>
        <x:v>245.21258934790245</x:v>
      </x:c>
      <x:c r="M29" s="664" t="str">
        <x:v>After-tax shortfall ÷ (1 − tax rate)</x:v>
      </x:c>
      <x:c r="N29" s="538"/>
      <x:c r="O29" s="538"/>
    </x:row>
    <x:row r="30" ht="18" customHeight="1">
      <x:c r="A30" s="824" t="str">
        <x:v>Total incremental financing costs</x:v>
      </x:c>
      <x:c r="B30" s="744" t="n">
        <x:f>SUM(B27:B29)</x:f>
        <x:v>128.239104</x:v>
      </x:c>
      <x:c r="C30" s="744" t="n">
        <x:f>SUM(C27:C29)</x:f>
        <x:v>256.478208</x:v>
      </x:c>
      <x:c r="D30" s="744" t="n">
        <x:f>SUM(D27:D29)</x:f>
        <x:v>256.478208</x:v>
      </x:c>
      <x:c r="E30" s="744" t="n">
        <x:f>SUM(E27:E29)</x:f>
        <x:v>256.478208</x:v>
      </x:c>
      <x:c r="F30" s="664" t="str">
        <x:v>Sum of financing costs</x:v>
      </x:c>
      <x:c r="G30" s="664"/>
      <x:c r="H30" s="824" t="str">
        <x:v>Annualized pre-tax synergy run-rate — excluding PPA</x:v>
      </x:c>
      <x:c r="I30" s="847" t="n">
        <x:f>I29/B24</x:f>
        <x:v>288.1442811035027</x:v>
      </x:c>
      <x:c r="J30" s="847" t="n">
        <x:f>J29/C24</x:f>
        <x:v>273.4594677681942</x:v>
      </x:c>
      <x:c r="K30" s="847" t="n">
        <x:f>K29/D24</x:f>
        <x:v>256.30184113635056</x:v>
      </x:c>
      <x:c r="L30" s="847" t="n">
        <x:f>L29/E24</x:f>
        <x:v>245.21258934790245</x:v>
      </x:c>
      <x:c r="M30" s="664" t="str">
        <x:v>Recognized synergies ÷ ownership factor</x:v>
      </x:c>
      <x:c r="N30" s="538"/>
      <x:c r="O30" s="538"/>
    </x:row>
    <x:row r="31" ht="18" customHeight="1">
      <x:c r="A31" s="824" t="str">
        <x:v>Tax benefit on financing costs</x:v>
      </x:c>
      <x:c r="B31" s="744" t="n">
        <x:f>B30*$B$7</x:f>
        <x:v>26.93021184</x:v>
      </x:c>
      <x:c r="C31" s="744" t="n">
        <x:f>C30*$B$7</x:f>
        <x:v>53.86042368</x:v>
      </x:c>
      <x:c r="D31" s="744" t="n">
        <x:f>D30*$B$7</x:f>
        <x:v>53.86042368</x:v>
      </x:c>
      <x:c r="E31" s="744" t="n">
        <x:f>E30*$B$7</x:f>
        <x:v>53.86042368</x:v>
      </x:c>
      <x:c r="F31" s="664" t="str">
        <x:v>Financing costs × buyer tax rate</x:v>
      </x:c>
      <x:c r="G31" s="664"/>
      <x:c r="H31" s="824" t="str">
        <x:v>Run-rate / CGNX revenue</x:v>
      </x:c>
      <x:c r="I31" s="848" t="n">
        <x:f>I30/'CGNX Operating Model'!F20</x:f>
        <x:v>0.23188820304482752</x:v>
      </x:c>
      <x:c r="J31" s="848" t="n">
        <x:f>J30/'CGNX Operating Model'!G20</x:f>
        <x:v>0.20376888048967975</x:v>
      </x:c>
      <x:c r="K31" s="848" t="n">
        <x:f>K30/'CGNX Operating Model'!H20</x:f>
        <x:v>0.17848957008345098</x:v>
      </x:c>
      <x:c r="L31" s="848" t="n">
        <x:f>L30/'CGNX Operating Model'!I20</x:f>
        <x:v>0.160344575830755</x:v>
      </x:c>
      <x:c r="M31" s="664" t="str">
        <x:v>Annualized run-rate ÷ target revenue</x:v>
      </x:c>
      <x:c r="N31" s="538"/>
      <x:c r="O31" s="538"/>
    </x:row>
    <x:row r="32" ht="18" customHeight="1">
      <x:c r="A32" s="824" t="str">
        <x:v>After-tax financing costs</x:v>
      </x:c>
      <x:c r="B32" s="744" t="n">
        <x:f>B30-B31</x:f>
        <x:v>101.30889216</x:v>
      </x:c>
      <x:c r="C32" s="744" t="n">
        <x:f>C30-C31</x:f>
        <x:v>202.61778432</x:v>
      </x:c>
      <x:c r="D32" s="744" t="n">
        <x:f>D30-D31</x:f>
        <x:v>202.61778432</x:v>
      </x:c>
      <x:c r="E32" s="744" t="n">
        <x:f>E30-E31</x:f>
        <x:v>202.61778432</x:v>
      </x:c>
      <x:c r="F32" s="664" t="str">
        <x:v>Pre-tax costs less tax benefit</x:v>
      </x:c>
      <x:c r="G32" s="664"/>
      <x:c r="H32" s="824" t="str">
        <x:v>Run-rate / CGNX EBITDA</x:v>
      </x:c>
      <x:c r="I32" s="848" t="n">
        <x:f>I30/'CGNX Operating Model'!F32</x:f>
        <x:v>0.7807683604202951</x:v>
      </x:c>
      <x:c r="J32" s="848" t="n">
        <x:f>J30/'CGNX Operating Model'!G32</x:f>
        <x:v>0.6680946901300975</x:v>
      </x:c>
      <x:c r="K32" s="848" t="n">
        <x:f>K30/'CGNX Operating Model'!H32</x:f>
        <x:v>0.5720819553956763</x:v>
      </x:c>
      <x:c r="L32" s="848" t="n">
        <x:f>L30/'CGNX Operating Model'!I32</x:f>
        <x:v>0.5090303994627144</x:v>
      </x:c>
      <x:c r="M32" s="664" t="str">
        <x:v>Annualized run-rate ÷ target EBITDA</x:v>
      </x:c>
      <x:c r="N32" s="538"/>
      <x:c r="O32" s="538"/>
    </x:row>
    <x:row r="33" ht="18" customHeight="1">
      <x:c r="A33" s="824" t="str">
        <x:v>After-tax purchase-accounting expense</x:v>
      </x:c>
      <x:c r="B33" s="794" t="n">
        <x:f>'Purchase Accounting'!B43</x:f>
        <x:v>235.5440405333333</x:v>
      </x:c>
      <x:c r="C33" s="794" t="n">
        <x:f>'Purchase Accounting'!C43</x:f>
        <x:v>444.50868906666665</x:v>
      </x:c>
      <x:c r="D33" s="794" t="n">
        <x:f>'Purchase Accounting'!D43</x:f>
        <x:v>391.3499050666666</x:v>
      </x:c>
      <x:c r="E33" s="794" t="n">
        <x:f>'Purchase Accounting'!E43</x:f>
        <x:v>364.77051306666664</x:v>
      </x:c>
      <x:c r="F33" s="664" t="str">
        <x:v>Purchase Accounting</x:v>
      </x:c>
      <x:c r="G33" s="664"/>
      <x:c r="H33" s="824"/>
      <x:c r="I33" s="436"/>
      <x:c r="J33" s="436"/>
      <x:c r="K33" s="436"/>
      <x:c r="L33" s="436"/>
      <x:c r="M33" s="664"/>
      <x:c r="N33" s="538"/>
      <x:c r="O33" s="538"/>
    </x:row>
    <x:row r="34" ht="18" customHeight="1">
      <x:c r="A34" s="832" t="str">
        <x:v>Pro forma net income — including PPA</x:v>
      </x:c>
      <x:c r="B34" s="844" t="n">
        <x:f>B22+B25-B32-B33</x:f>
        <x:v>1354.1930889642667</x:v>
      </x:c>
      <x:c r="C34" s="844" t="n">
        <x:f>C22+C25-C32-C33</x:f>
        <x:v>1293.3769347819332</x:v>
      </x:c>
      <x:c r="D34" s="844" t="n">
        <x:f>D22+D25-D32-D33</x:f>
        <x:v>1444.083213964627</x:v>
      </x:c>
      <x:c r="E34" s="844" t="n">
        <x:f>E22+E25-E32-E33</x:f>
        <x:v>1567.045690391145</x:v>
      </x:c>
      <x:c r="F34" s="755" t="str">
        <x:v>Buyer + target contribution − financing − PPA</x:v>
      </x:c>
      <x:c r="G34" s="755"/>
      <x:c r="H34" s="538"/>
      <x:c r="I34" s="538"/>
      <x:c r="J34" s="538"/>
      <x:c r="K34" s="538"/>
      <x:c r="L34" s="538"/>
      <x:c r="M34" s="538"/>
      <x:c r="N34" s="538"/>
      <x:c r="O34" s="538"/>
    </x:row>
    <x:row r="35" ht="18" customHeight="1">
      <x:c r="A35" s="824"/>
      <x:c r="B35" s="716"/>
      <x:c r="C35" s="716"/>
      <x:c r="D35" s="716"/>
      <x:c r="E35" s="716"/>
      <x:c r="F35" s="664"/>
      <x:c r="G35" s="664"/>
      <x:c r="H35" s="538"/>
      <x:c r="I35" s="538"/>
      <x:c r="J35" s="538"/>
      <x:c r="K35" s="538"/>
      <x:c r="L35" s="538"/>
      <x:c r="M35" s="538"/>
      <x:c r="N35" s="538"/>
      <x:c r="O35" s="538"/>
    </x:row>
    <x:row r="36" ht="18" customHeight="1">
      <x:c r="A36" s="824" t="str">
        <x:v>ROK diluted shares</x:v>
      </x:c>
      <x:c r="B36" s="560" t="n">
        <x:f>'ROK Forecast'!F13</x:f>
        <x:v>111.2976384</x:v>
      </x:c>
      <x:c r="C36" s="560" t="n">
        <x:f>'ROK Forecast'!G13</x:f>
        <x:v>110.4072572928</x:v>
      </x:c>
      <x:c r="D36" s="560" t="n">
        <x:f>'ROK Forecast'!H13</x:f>
        <x:v>109.52399923445759</x:v>
      </x:c>
      <x:c r="E36" s="560" t="n">
        <x:f>'ROK Forecast'!I13</x:f>
        <x:v>108.64780724058193</x:v>
      </x:c>
      <x:c r="F36" s="664" t="str">
        <x:v>ROK Forecast</x:v>
      </x:c>
      <x:c r="G36" s="664"/>
      <x:c r="H36" s="822" t="str">
        <x:v>RECONCILIATION CHECKS</x:v>
      </x:c>
      <x:c r="I36" s="822"/>
      <x:c r="J36" s="822"/>
      <x:c r="K36" s="822"/>
      <x:c r="L36" s="822"/>
      <x:c r="M36" s="822"/>
      <x:c r="N36" s="822"/>
      <x:c r="O36" s="822"/>
    </x:row>
    <x:row r="37" ht="18" customHeight="1">
      <x:c r="A37" s="824" t="str">
        <x:v>Weighted new shares issued</x:v>
      </x:c>
      <x:c r="B37" s="560" t="n">
        <x:f>$B$16*B24</x:f>
        <x:v>10.917306756286937</x:v>
      </x:c>
      <x:c r="C37" s="560" t="n">
        <x:f>$B$16*C24</x:f>
        <x:v>21.834613512573874</x:v>
      </x:c>
      <x:c r="D37" s="560" t="n">
        <x:f>$B$16*D24</x:f>
        <x:v>21.834613512573874</x:v>
      </x:c>
      <x:c r="E37" s="560" t="n">
        <x:f>$B$16*E24</x:f>
        <x:v>21.834613512573874</x:v>
      </x:c>
      <x:c r="F37" s="664" t="str">
        <x:v>New shares × ownership factor</x:v>
      </x:c>
      <x:c r="G37" s="664"/>
      <x:c r="H37" s="824" t="str">
        <x:v>Buyer EPS tie-out</x:v>
      </x:c>
      <x:c r="I37" s="849" t="n">
        <x:f>B39-B22/B36</x:f>
        <x:v>1.7763568394002505e-15</x:v>
      </x:c>
      <x:c r="J37" s="664" t="str">
        <x:v>Must equal zero</x:v>
      </x:c>
      <x:c r="K37" s="664"/>
      <x:c r="L37" s="664"/>
      <x:c r="M37" s="664"/>
      <x:c r="N37" s="664"/>
      <x:c r="O37" s="664"/>
    </x:row>
    <x:row r="38" ht="18" customHeight="1">
      <x:c r="A38" s="824" t="str">
        <x:v>Pro forma diluted shares</x:v>
      </x:c>
      <x:c r="B38" s="749" t="n">
        <x:f>SUM(B36:B37)</x:f>
        <x:v>122.21494515628693</x:v>
      </x:c>
      <x:c r="C38" s="749" t="n">
        <x:f>SUM(C36:C37)</x:f>
        <x:v>132.24187080537388</x:v>
      </x:c>
      <x:c r="D38" s="749" t="n">
        <x:f>SUM(D36:D37)</x:f>
        <x:v>131.35861274703146</x:v>
      </x:c>
      <x:c r="E38" s="749" t="n">
        <x:f>SUM(E36:E37)</x:f>
        <x:v>130.4824207531558</x:v>
      </x:c>
      <x:c r="F38" s="664" t="str">
        <x:v>Buyer shares plus weighted new shares</x:v>
      </x:c>
      <x:c r="G38" s="664"/>
      <x:c r="H38" s="824" t="str">
        <x:v>Pro forma net-income identity</x:v>
      </x:c>
      <x:c r="I38" s="849" t="n">
        <x:f>B34-(B22+B25-B32-B33)</x:f>
        <x:v>0</x:v>
      </x:c>
      <x:c r="J38" s="664" t="str">
        <x:v>Buyer plus target less financing and PPA</x:v>
      </x:c>
      <x:c r="K38" s="664"/>
      <x:c r="L38" s="664"/>
      <x:c r="M38" s="664"/>
      <x:c r="N38" s="664"/>
      <x:c r="O38" s="664"/>
    </x:row>
    <x:row r="39" ht="18" customHeight="1">
      <x:c r="A39" s="824" t="str">
        <x:v>ROK standalone adjusted EPS</x:v>
      </x:c>
      <x:c r="B39" s="663" t="n">
        <x:f>'ROK Forecast'!F11</x:f>
        <x:v>13.939000000000002</x:v>
      </x:c>
      <x:c r="C39" s="663" t="n">
        <x:f>'ROK Forecast'!G11</x:f>
        <x:v>14.775340000000003</x:v>
      </x:c>
      <x:c r="D39" s="663" t="n">
        <x:f>'ROK Forecast'!H11</x:f>
        <x:v>15.514107000000005</x:v>
      </x:c>
      <x:c r="E39" s="663" t="n">
        <x:f>'ROK Forecast'!I11</x:f>
        <x:v>16.289812350000005</x:v>
      </x:c>
      <x:c r="F39" s="664" t="str">
        <x:v>ROK Forecast</x:v>
      </x:c>
      <x:c r="G39" s="664"/>
      <x:c r="H39" s="824" t="str">
        <x:v>Pro forma share-count identity</x:v>
      </x:c>
      <x:c r="I39" s="849" t="n">
        <x:f>B38-SUM(B36:B37)</x:f>
        <x:v>0</x:v>
      </x:c>
      <x:c r="J39" s="664" t="str">
        <x:v>Buyer shares plus weighted new shares</x:v>
      </x:c>
      <x:c r="K39" s="664"/>
      <x:c r="L39" s="664"/>
      <x:c r="M39" s="664"/>
      <x:c r="N39" s="664"/>
      <x:c r="O39" s="664"/>
    </x:row>
    <x:row r="40" ht="18" customHeight="1">
      <x:c r="A40" s="824" t="str">
        <x:v>Pro forma EPS — including PPA</x:v>
      </x:c>
      <x:c r="B40" s="845" t="n">
        <x:f>B34/B38</x:f>
        <x:v>11.08042136117266</x:v>
      </x:c>
      <x:c r="C40" s="845" t="n">
        <x:f>C34/C38</x:f>
        <x:v>9.780388971398116</x:v>
      </x:c>
      <x:c r="D40" s="845" t="n">
        <x:f>D34/D38</x:f>
        <x:v>10.993441417850704</x:v>
      </x:c>
      <x:c r="E40" s="845" t="n">
        <x:f>E34/E38</x:f>
        <x:v>12.009630732983203</x:v>
      </x:c>
      <x:c r="F40" s="664" t="str">
        <x:v>Pro forma net income ÷ shares</x:v>
      </x:c>
      <x:c r="G40" s="664"/>
      <x:c r="H40" s="824" t="str">
        <x:v>Accretion / dilution formula</x:v>
      </x:c>
      <x:c r="I40" s="849" t="n">
        <x:f>B41-(B40/B39-1)</x:f>
        <x:v>0</x:v>
      </x:c>
      <x:c r="J40" s="664" t="str">
        <x:v>Must equal zero</x:v>
      </x:c>
      <x:c r="K40" s="664"/>
      <x:c r="L40" s="664"/>
      <x:c r="M40" s="664"/>
      <x:c r="N40" s="664"/>
      <x:c r="O40" s="664"/>
    </x:row>
    <x:row r="41" ht="18" customHeight="1">
      <x:c r="A41" s="832" t="str">
        <x:v>EPS accretion / (dilution) — including PPA</x:v>
      </x:c>
      <x:c r="B41" s="846" t="n">
        <x:f>B40/B39-1</x:f>
        <x:v>-0.20507774150422142</x:v>
      </x:c>
      <x:c r="C41" s="846" t="n">
        <x:f>C40/C39-1</x:f>
        <x:v>-0.33805997212936467</x:v>
      </x:c>
      <x:c r="D41" s="846" t="n">
        <x:f>D40/D39-1</x:f>
        <x:v>-0.2913906409275957</x:v>
      </x:c>
      <x:c r="E41" s="846" t="n">
        <x:f>E40/E39-1</x:f>
        <x:v>-0.26275205171512006</x:v>
      </x:c>
      <x:c r="F41" s="755" t="str">
        <x:v>Pro forma EPS ÷ buyer EPS − 1</x:v>
      </x:c>
      <x:c r="G41" s="755"/>
      <x:c r="H41" s="824" t="str">
        <x:v>Adjusted EPS bridge</x:v>
      </x:c>
      <x:c r="I41" s="849" t="n">
        <x:f>B43-(B34+B33)</x:f>
        <x:v>0</x:v>
      </x:c>
      <x:c r="J41" s="664" t="str">
        <x:v>Adjusted net income adds back PPA</x:v>
      </x:c>
      <x:c r="K41" s="664"/>
      <x:c r="L41" s="664"/>
      <x:c r="M41" s="664"/>
      <x:c r="N41" s="664"/>
      <x:c r="O41" s="664"/>
    </x:row>
    <x:row r="42" ht="18" customHeight="1">
      <x:c r="A42" s="824"/>
      <x:c r="B42" s="716"/>
      <x:c r="C42" s="716"/>
      <x:c r="D42" s="716"/>
      <x:c r="E42" s="716"/>
      <x:c r="F42" s="664"/>
      <x:c r="G42" s="664"/>
      <x:c r="H42" s="824" t="str">
        <x:v>Breakeven synergy produces neutral EPS</x:v>
      </x:c>
      <x:c r="I42" s="849" t="n">
        <x:f>(B34+I24*B24*(1-$B$7))/B38-B39</x:f>
        <x:v>0</x:v>
      </x:c>
      <x:c r="J42" s="664" t="str">
        <x:v>Adds required recognized synergy to headline earnings</x:v>
      </x:c>
      <x:c r="K42" s="664"/>
      <x:c r="L42" s="664"/>
      <x:c r="M42" s="664"/>
      <x:c r="N42" s="664"/>
      <x:c r="O42" s="664"/>
    </x:row>
    <x:row r="43" ht="18" customHeight="1">
      <x:c r="A43" s="824" t="str">
        <x:v>Pro forma net income — excluding PPA</x:v>
      </x:c>
      <x:c r="B43" s="744" t="n">
        <x:f>B34+B33</x:f>
        <x:v>1589.7371294976</x:v>
      </x:c>
      <x:c r="C43" s="744" t="n">
        <x:f>C34+C33</x:f>
        <x:v>1737.8856238485998</x:v>
      </x:c>
      <x:c r="D43" s="744" t="n">
        <x:f>D34+D33</x:f>
        <x:v>1835.4331190312937</x:v>
      </x:c>
      <x:c r="E43" s="744" t="n">
        <x:f>E34+E33</x:f>
        <x:v>1931.8162034578115</x:v>
      </x:c>
      <x:c r="F43" s="664" t="str">
        <x:v>Adds back after-tax PPA expense</x:v>
      </x:c>
      <x:c r="G43" s="664"/>
      <x:c r="H43" s="538"/>
      <x:c r="I43" s="538"/>
      <x:c r="J43" s="538"/>
      <x:c r="K43" s="538"/>
      <x:c r="L43" s="538"/>
      <x:c r="M43" s="538"/>
      <x:c r="N43" s="538"/>
      <x:c r="O43" s="538"/>
    </x:row>
    <x:row r="44" ht="18" customHeight="1">
      <x:c r="A44" s="824" t="str">
        <x:v>Pro forma EPS — excluding PPA</x:v>
      </x:c>
      <x:c r="B44" s="845" t="n">
        <x:f>B43/B38</x:f>
        <x:v>13.007714624955764</x:v>
      </x:c>
      <x:c r="C44" s="845" t="n">
        <x:f>C43/C38</x:f>
        <x:v>13.141719889960736</x:v>
      </x:c>
      <x:c r="D44" s="845" t="n">
        <x:f>D43/D38</x:f>
        <x:v>13.972689575870785</x:v>
      </x:c>
      <x:c r="E44" s="845" t="n">
        <x:f>E43/E38</x:f>
        <x:v>14.805183658512783</x:v>
      </x:c>
      <x:c r="F44" s="664" t="str">
        <x:v>Adjusted pro forma net income ÷ shares</x:v>
      </x:c>
      <x:c r="G44" s="664"/>
      <x:c r="H44" s="538"/>
      <x:c r="I44" s="538"/>
      <x:c r="J44" s="538"/>
      <x:c r="K44" s="538"/>
      <x:c r="L44" s="538"/>
      <x:c r="M44" s="538"/>
      <x:c r="N44" s="538"/>
      <x:c r="O44" s="538"/>
    </x:row>
    <x:row r="45" ht="18" customHeight="1">
      <x:c r="A45" s="832" t="str">
        <x:v>Adjusted accretion / (dilution) — excluding PPA</x:v>
      </x:c>
      <x:c r="B45" s="846" t="n">
        <x:f>B44/B39-1</x:f>
        <x:v>-0.06681149114314067</x:v>
      </x:c>
      <x:c r="C45" s="846" t="n">
        <x:f>C44/C39-1</x:f>
        <x:v>-0.11056396062894436</x:v>
      </x:c>
      <x:c r="D45" s="846" t="n">
        <x:f>D44/D39-1</x:f>
        <x:v>-0.09935585877609454</x:v>
      </x:c>
      <x:c r="E45" s="846" t="n">
        <x:f>E44/E39-1</x:f>
        <x:v>-0.09113847720211588</x:v>
      </x:c>
      <x:c r="F45" s="755" t="str">
        <x:v>Adjusted EPS ÷ buyer EPS − 1</x:v>
      </x:c>
      <x:c r="G45" s="755"/>
      <x:c r="H45" s="538"/>
      <x:c r="I45" s="538"/>
      <x:c r="J45" s="538"/>
      <x:c r="K45" s="538"/>
      <x:c r="L45" s="538"/>
      <x:c r="M45" s="538"/>
      <x:c r="N45" s="538"/>
      <x:c r="O45" s="538"/>
    </x:row>
    <x:row r="46" ht="18" customHeight="1">
      <x:c r="A46" s="824"/>
      <x:c r="B46" s="716"/>
      <x:c r="C46" s="716"/>
      <x:c r="D46" s="716"/>
      <x:c r="E46" s="716"/>
      <x:c r="F46" s="664"/>
      <x:c r="G46" s="664"/>
      <x:c r="H46" s="538"/>
      <x:c r="I46" s="538"/>
      <x:c r="J46" s="538"/>
      <x:c r="K46" s="538"/>
      <x:c r="L46" s="538"/>
      <x:c r="M46" s="538"/>
      <x:c r="N46" s="538"/>
      <x:c r="O46" s="538"/>
    </x:row>
    <x:row r="47" ht="18" customHeight="1">
      <x:c r="A47" s="824" t="str">
        <x:v>One-time transaction fees — after tax</x:v>
      </x:c>
      <x:c r="B47" s="794" t="n">
        <x:f>$B$15*(1-$B$7*$B$10)</x:f>
        <x:v>134.5792</x:v>
      </x:c>
      <x:c r="C47" s="794" t="n">
        <x:f>0</x:f>
        <x:v>0</x:v>
      </x:c>
      <x:c r="D47" s="794" t="n">
        <x:f>0</x:f>
        <x:v>0</x:v>
      </x:c>
      <x:c r="E47" s="794" t="n">
        <x:f>0</x:f>
        <x:v>0</x:v>
      </x:c>
      <x:c r="F47" s="664" t="str">
        <x:v>Shown only in FY2027E</x:v>
      </x:c>
      <x:c r="G47" s="664"/>
      <x:c r="H47" s="538"/>
      <x:c r="I47" s="538"/>
      <x:c r="J47" s="538"/>
      <x:c r="K47" s="538"/>
      <x:c r="L47" s="538"/>
      <x:c r="M47" s="538"/>
      <x:c r="N47" s="538"/>
      <x:c r="O47" s="538"/>
    </x:row>
    <x:row r="48" ht="18" customHeight="1">
      <x:c r="A48" s="824" t="str">
        <x:v>EPS including PPA and one-time fees</x:v>
      </x:c>
      <x:c r="B48" s="845" t="n">
        <x:f>(B34-B47)/B38</x:f>
        <x:v>9.979253252575942</x:v>
      </x:c>
      <x:c r="C48" s="845" t="n">
        <x:f>(C34-C47)/C38</x:f>
        <x:v>9.780388971398116</x:v>
      </x:c>
      <x:c r="D48" s="845" t="n">
        <x:f>(D34-D47)/D38</x:f>
        <x:v>10.993441417850704</x:v>
      </x:c>
      <x:c r="E48" s="845" t="n">
        <x:f>(E34-E47)/E38</x:f>
        <x:v>12.009630732983203</x:v>
      </x:c>
      <x:c r="F48" s="664" t="str">
        <x:v>Illustrative all-in first-year EPS</x:v>
      </x:c>
      <x:c r="G48" s="664"/>
      <x:c r="H48" s="538"/>
      <x:c r="I48" s="538"/>
      <x:c r="J48" s="538"/>
      <x:c r="K48" s="538"/>
      <x:c r="L48" s="538"/>
      <x:c r="M48" s="538"/>
      <x:c r="N48" s="538"/>
      <x:c r="O48" s="538"/>
    </x:row>
    <x:row r="49" ht="18" customHeight="1">
      <x:c r="A49" s="538"/>
      <x:c r="B49" s="538"/>
      <x:c r="C49" s="538"/>
      <x:c r="D49" s="538"/>
      <x:c r="E49" s="538"/>
      <x:c r="F49" s="538"/>
      <x:c r="G49" s="538"/>
      <x:c r="H49" s="538"/>
      <x:c r="I49" s="538"/>
      <x:c r="J49" s="538"/>
      <x:c r="K49" s="538"/>
      <x:c r="L49" s="538"/>
      <x:c r="M49" s="538"/>
      <x:c r="N49" s="538"/>
      <x:c r="O49" s="538"/>
    </x:row>
    <x:row r="50" ht="18" customHeight="1">
      <x:c r="A50" s="538"/>
      <x:c r="B50" s="538"/>
      <x:c r="C50" s="538"/>
      <x:c r="D50" s="538"/>
      <x:c r="E50" s="538"/>
      <x:c r="F50" s="538"/>
      <x:c r="G50" s="538"/>
      <x:c r="H50" s="538"/>
      <x:c r="I50" s="538"/>
      <x:c r="J50" s="538"/>
      <x:c r="K50" s="538"/>
      <x:c r="L50" s="538"/>
      <x:c r="M50" s="538"/>
      <x:c r="N50" s="538"/>
      <x:c r="O50" s="538"/>
    </x:row>
    <x:row r="51" ht="18" customHeight="1">
      <x:c r="A51" s="822" t="str">
        <x:v>ANALYST INTERPRETATION</x:v>
      </x:c>
      <x:c r="B51" s="822"/>
      <x:c r="C51" s="822"/>
      <x:c r="D51" s="822"/>
      <x:c r="E51" s="822"/>
      <x:c r="F51" s="822"/>
      <x:c r="G51" s="822"/>
      <x:c r="H51" s="822"/>
      <x:c r="I51" s="822"/>
      <x:c r="J51" s="822"/>
      <x:c r="K51" s="822"/>
      <x:c r="L51" s="822"/>
      <x:c r="M51" s="822"/>
      <x:c r="N51" s="822"/>
      <x:c r="O51" s="822"/>
    </x:row>
    <x:row r="52" ht="30" customHeight="1">
      <x:c r="A52" s="836" t="str">
        <x:v>The transaction is dilutive before synergies because Cognex’s earnings contribution is insufficient to offset the new shares issued, incremental financing costs, and purchase-accounting expense at the proposed $80 offer price.</x:v>
      </x:c>
      <x:c r="B52" s="836"/>
      <x:c r="C52" s="836"/>
      <x:c r="D52" s="836"/>
      <x:c r="E52" s="836"/>
      <x:c r="F52" s="836"/>
      <x:c r="G52" s="836"/>
      <x:c r="H52" s="836"/>
      <x:c r="I52" s="836"/>
      <x:c r="J52" s="836"/>
      <x:c r="K52" s="836"/>
      <x:c r="L52" s="836"/>
      <x:c r="M52" s="836"/>
      <x:c r="N52" s="836"/>
      <x:c r="O52" s="836"/>
    </x:row>
    <x:row r="53" ht="30" customHeight="1">
      <x:c r="A53" s="836" t="str">
        <x:v>Excluding purchase-accounting expense improves the result but does not eliminate dilution. This demonstrates that the core issue is not only non-cash amortization; the acquisition price is high relative to Cognex’s standalone earnings contribution.</x:v>
      </x:c>
      <x:c r="B53" s="836"/>
      <x:c r="C53" s="836"/>
      <x:c r="D53" s="836"/>
      <x:c r="E53" s="836"/>
      <x:c r="F53" s="836"/>
      <x:c r="G53" s="836"/>
      <x:c r="H53" s="836"/>
      <x:c r="I53" s="836"/>
      <x:c r="J53" s="836"/>
      <x:c r="K53" s="836"/>
      <x:c r="L53" s="836"/>
      <x:c r="M53" s="836"/>
      <x:c r="N53" s="836"/>
      <x:c r="O53" s="836"/>
    </x:row>
    <x:row r="54" ht="30" customHeight="1">
      <x:c r="A54" s="836" t="str">
        <x:v>The breakeven analysis calculates the cost-synergy run-rate required to restore Rockwell’s standalone EPS. It is a threshold, not a synergy forecast. The next step will independently underwrite achievable cost and revenue synergies.</x:v>
      </x:c>
      <x:c r="B54" s="836"/>
      <x:c r="C54" s="836"/>
      <x:c r="D54" s="836"/>
      <x:c r="E54" s="836"/>
      <x:c r="F54" s="836"/>
      <x:c r="G54" s="836"/>
      <x:c r="H54" s="836"/>
      <x:c r="I54" s="836"/>
      <x:c r="J54" s="836"/>
      <x:c r="K54" s="836"/>
      <x:c r="L54" s="836"/>
      <x:c r="M54" s="836"/>
      <x:c r="N54" s="836"/>
      <x:c r="O54" s="836"/>
    </x:row>
    <x:row r="55" ht="30" customHeight="1">
      <x:c r="A55" s="837" t="str">
        <x:v>Buyer standalone forecasts use Rockwell adjusted EPS guidance and analyst growth assumptions; therefore, the headline output is a merger-model EPS comparison rather than a fully audited GAAP forecast.</x:v>
      </x:c>
      <x:c r="B55" s="837"/>
      <x:c r="C55" s="837"/>
      <x:c r="D55" s="837"/>
      <x:c r="E55" s="837"/>
      <x:c r="F55" s="837"/>
      <x:c r="G55" s="837"/>
      <x:c r="H55" s="837"/>
      <x:c r="I55" s="837"/>
      <x:c r="J55" s="837"/>
      <x:c r="K55" s="837"/>
      <x:c r="L55" s="837"/>
      <x:c r="M55" s="837"/>
      <x:c r="N55" s="837"/>
      <x:c r="O55" s="837"/>
    </x:row>
  </x:sheetData>
  <x:mergeCells>
    <x:mergeCell ref="A1:O1"/>
    <x:mergeCell ref="A2:O2"/>
    <x:mergeCell ref="B3:O3"/>
    <x:mergeCell ref="A5:F5"/>
    <x:mergeCell ref="E6:F6"/>
    <x:mergeCell ref="E7:F7"/>
    <x:mergeCell ref="E8:F8"/>
    <x:mergeCell ref="E9:F9"/>
    <x:mergeCell ref="E10:F10"/>
    <x:mergeCell ref="E11:F11"/>
    <x:mergeCell ref="E12:F12"/>
    <x:mergeCell ref="E13:F13"/>
    <x:mergeCell ref="E14:F14"/>
    <x:mergeCell ref="E15:F15"/>
    <x:mergeCell ref="E16:F16"/>
    <x:mergeCell ref="H5:O5"/>
    <x:mergeCell ref="J6:O6"/>
    <x:mergeCell ref="J7:O7"/>
    <x:mergeCell ref="J8:O8"/>
    <x:mergeCell ref="J9:O9"/>
    <x:mergeCell ref="J10:O10"/>
    <x:mergeCell ref="J11:O11"/>
    <x:mergeCell ref="J12:O12"/>
    <x:mergeCell ref="J13:O13"/>
    <x:mergeCell ref="J14:O14"/>
    <x:mergeCell ref="A19:G19"/>
    <x:mergeCell ref="H19:O19"/>
    <x:mergeCell ref="H36:O36"/>
    <x:mergeCell ref="J37:O37"/>
    <x:mergeCell ref="J38:O38"/>
    <x:mergeCell ref="J39:O39"/>
    <x:mergeCell ref="J40:O40"/>
    <x:mergeCell ref="J41:O41"/>
    <x:mergeCell ref="J42:O42"/>
    <x:mergeCell ref="A51:O51"/>
    <x:mergeCell ref="A52:O52"/>
    <x:mergeCell ref="A53:O53"/>
    <x:mergeCell ref="A54:O54"/>
    <x:mergeCell ref="A55:O55"/>
  </x:mergeCell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31" hidden="0" customWidth="1"/>
    <x:col min="2" max="2" width="16" hidden="0" customWidth="1"/>
    <x:col min="3" max="3" width="11" hidden="0" customWidth="1"/>
    <x:col min="4" max="4" width="13" hidden="0" customWidth="1"/>
    <x:col min="5" max="5" width="13" hidden="0" customWidth="1"/>
    <x:col min="6" max="6" width="35" hidden="0" customWidth="1"/>
    <x:col min="7" max="7" width="3" hidden="0" customWidth="1"/>
    <x:col min="8" max="8" width="34" hidden="0" customWidth="1"/>
    <x:col min="9" max="9" width="13" hidden="0" customWidth="1"/>
    <x:col min="10" max="10" width="13" hidden="0" customWidth="1"/>
    <x:col min="11" max="11" width="13" hidden="0" customWidth="1"/>
    <x:col min="12" max="12" width="13" hidden="0" customWidth="1"/>
    <x:col min="13" max="13" width="34" hidden="0" customWidth="1"/>
    <x:col min="14" max="14" width="10" hidden="0" customWidth="1"/>
    <x:col min="15" max="15" width="10" hidden="0" customWidth="1"/>
  </x:cols>
  <x:sheetData>
    <x:row r="1" ht="24" customHeight="1">
      <x:c r="A1" s="856" t="str">
        <x:v>Synergy Analysis</x:v>
      </x:c>
      <x:c r="B1" s="856"/>
      <x:c r="C1" s="856"/>
      <x:c r="D1" s="856"/>
      <x:c r="E1" s="856"/>
      <x:c r="F1" s="856"/>
      <x:c r="G1" s="856"/>
      <x:c r="H1" s="856"/>
      <x:c r="I1" s="856"/>
      <x:c r="J1" s="856"/>
      <x:c r="K1" s="856"/>
      <x:c r="L1" s="856"/>
      <x:c r="M1" s="856"/>
      <x:c r="N1" s="856"/>
      <x:c r="O1" s="856"/>
    </x:row>
    <x:row r="2" ht="24" customHeight="1">
      <x:c r="A2" s="859" t="str">
        <x:v>Bottom-up cost and revenue synergy underwriting; $ in millions except per-share data</x:v>
      </x:c>
      <x:c r="B2" s="859"/>
      <x:c r="C2" s="859"/>
      <x:c r="D2" s="859"/>
      <x:c r="E2" s="859"/>
      <x:c r="F2" s="859"/>
      <x:c r="G2" s="859"/>
      <x:c r="H2" s="859"/>
      <x:c r="I2" s="859"/>
      <x:c r="J2" s="859"/>
      <x:c r="K2" s="859"/>
      <x:c r="L2" s="859"/>
      <x:c r="M2" s="859"/>
      <x:c r="N2" s="859"/>
      <x:c r="O2" s="859"/>
    </x:row>
    <x:row r="3" ht="18" customHeight="1">
      <x:c r="A3" s="921" t="str">
        <x:v>Status</x:v>
      </x:c>
      <x:c r="B3" s="922" t="str">
        <x:v>SYNERGY ANALYSIS COMPLETE</x:v>
      </x:c>
      <x:c r="C3" s="922"/>
      <x:c r="D3" s="922"/>
      <x:c r="E3" s="922"/>
      <x:c r="F3" s="922"/>
      <x:c r="G3" s="923"/>
      <x:c r="H3" s="924" t="str">
        <x:v>Underwriting conclusion</x:v>
      </x:c>
      <x:c r="I3" s="924"/>
      <x:c r="J3" s="925" t="str">
        <x:v>Base synergies do not offset adjusted EPS dilution</x:v>
      </x:c>
      <x:c r="K3" s="925"/>
      <x:c r="L3" s="925"/>
      <x:c r="M3" s="925"/>
      <x:c r="N3" s="925"/>
      <x:c r="O3" s="925"/>
    </x:row>
    <x:row r="4" ht="18" customHeight="1">
      <x:c r="A4" s="923"/>
      <x:c r="B4" s="923"/>
      <x:c r="C4" s="923"/>
      <x:c r="D4" s="923"/>
      <x:c r="E4" s="923"/>
      <x:c r="F4" s="923"/>
      <x:c r="G4" s="923"/>
      <x:c r="H4" s="923"/>
      <x:c r="I4" s="923"/>
      <x:c r="J4" s="923"/>
      <x:c r="K4" s="923"/>
      <x:c r="L4" s="923"/>
      <x:c r="M4" s="923"/>
      <x:c r="N4" s="923"/>
      <x:c r="O4" s="923"/>
    </x:row>
    <x:row r="5" ht="18" customHeight="1">
      <x:c r="A5" s="869" t="str">
        <x:v>COST SYNERGY ASSUMPTIONS</x:v>
      </x:c>
      <x:c r="B5" s="869"/>
      <x:c r="C5" s="869"/>
      <x:c r="D5" s="869"/>
      <x:c r="E5" s="869"/>
      <x:c r="F5" s="869"/>
      <x:c r="G5" s="923"/>
      <x:c r="H5" s="869" t="str">
        <x:v>KEY OUTPUTS</x:v>
      </x:c>
      <x:c r="I5" s="869"/>
      <x:c r="J5" s="869"/>
      <x:c r="K5" s="869"/>
      <x:c r="L5" s="869"/>
      <x:c r="M5" s="869"/>
      <x:c r="N5" s="869"/>
      <x:c r="O5" s="869"/>
    </x:row>
    <x:row r="6" ht="18" customHeight="1">
      <x:c r="A6" s="875" t="str">
        <x:v>Category</x:v>
      </x:c>
      <x:c r="B6" s="876" t="str">
        <x:v>FY2027E cost base</x:v>
      </x:c>
      <x:c r="C6" s="876" t="str">
        <x:v>Savings %</x:v>
      </x:c>
      <x:c r="D6" s="876" t="str">
        <x:v>Full run-rate</x:v>
      </x:c>
      <x:c r="E6" s="876" t="str"/>
      <x:c r="F6" s="877" t="str">
        <x:v>Underwriting basis</x:v>
      </x:c>
      <x:c r="G6" s="923"/>
      <x:c r="H6" s="926" t="str">
        <x:v>Full run-rate cost synergies</x:v>
      </x:c>
      <x:c r="I6" s="926"/>
      <x:c r="J6" s="926"/>
      <x:c r="K6" s="927" t="n">
        <x:f>D13</x:f>
        <x:v>98.60066300000001</x:v>
      </x:c>
      <x:c r="L6" s="927"/>
      <x:c r="M6" s="927"/>
      <x:c r="N6" s="923"/>
      <x:c r="O6" s="923"/>
    </x:row>
    <x:row r="7" ht="28" customHeight="1">
      <x:c r="A7" s="923" t="str">
        <x:v>Corporate G&amp;A / back office</x:v>
      </x:c>
      <x:c r="B7" s="928" t="n">
        <x:f>'CGNX Operating Model'!F27</x:f>
        <x:v>378.99300000000005</x:v>
      </x:c>
      <x:c r="C7" s="929" t="n">
        <x:v>0.1</x:v>
      </x:c>
      <x:c r="D7" s="930" t="n">
        <x:f>B7*C7</x:f>
        <x:v>37.899300000000004</x:v>
      </x:c>
      <x:c r="E7" s="923"/>
      <x:c r="F7" s="931" t="str">
        <x:v>Duplicate corporate functions and shared services</x:v>
      </x:c>
      <x:c r="G7" s="923"/>
      <x:c r="H7" s="926" t="str">
        <x:v>FY2030E revenue synergy contribution</x:v>
      </x:c>
      <x:c r="I7" s="926"/>
      <x:c r="J7" s="926"/>
      <x:c r="K7" s="927" t="n">
        <x:f>E26</x:f>
        <x:v>45.87855649200001</x:v>
      </x:c>
      <x:c r="L7" s="927"/>
      <x:c r="M7" s="927"/>
      <x:c r="N7" s="923"/>
      <x:c r="O7" s="923"/>
    </x:row>
    <x:row r="8" ht="28" customHeight="1">
      <x:c r="A8" s="923" t="str">
        <x:v>Sales and channel overlap</x:v>
      </x:c>
      <x:c r="B8" s="928" t="n">
        <x:f>'CGNX Operating Model'!F27</x:f>
        <x:v>378.99300000000005</x:v>
      </x:c>
      <x:c r="C8" s="929" t="n">
        <x:v>0.075</x:v>
      </x:c>
      <x:c r="D8" s="930" t="n">
        <x:f>B8*C8</x:f>
        <x:v>28.424475000000005</x:v>
      </x:c>
      <x:c r="E8" s="923"/>
      <x:c r="F8" s="931" t="str">
        <x:v>Selective coverage rationalization; preserves commercial capacity</x:v>
      </x:c>
      <x:c r="G8" s="923"/>
      <x:c r="H8" s="926" t="str">
        <x:v>FY2030E recurring pre-tax synergy</x:v>
      </x:c>
      <x:c r="I8" s="926"/>
      <x:c r="J8" s="926"/>
      <x:c r="K8" s="927" t="n">
        <x:f>E27</x:f>
        <x:v>144.47921949200003</x:v>
      </x:c>
      <x:c r="L8" s="927"/>
      <x:c r="M8" s="927"/>
      <x:c r="N8" s="923"/>
      <x:c r="O8" s="923"/>
    </x:row>
    <x:row r="9" ht="28" customHeight="1">
      <x:c r="A9" s="923" t="str">
        <x:v>R&amp;D / product roadmap</x:v>
      </x:c>
      <x:c r="B9" s="928" t="n">
        <x:f>'CGNX Operating Model'!F25</x:f>
        <x:v>166.50840000000002</x:v>
      </x:c>
      <x:c r="C9" s="929" t="n">
        <x:v>0.03</x:v>
      </x:c>
      <x:c r="D9" s="930" t="n">
        <x:f>B9*C9</x:f>
        <x:v>4.995252000000001</x:v>
      </x:c>
      <x:c r="E9" s="923"/>
      <x:c r="F9" s="931" t="str">
        <x:v>Duplicate platforms only; protects machine-vision innovation</x:v>
      </x:c>
      <x:c r="G9" s="923"/>
      <x:c r="H9" s="926" t="str">
        <x:v>Total integration costs</x:v>
      </x:c>
      <x:c r="I9" s="926"/>
      <x:c r="J9" s="926"/>
      <x:c r="K9" s="927" t="n">
        <x:f>D15</x:f>
        <x:v>147.90099450000002</x:v>
      </x:c>
      <x:c r="L9" s="927"/>
      <x:c r="M9" s="927"/>
      <x:c r="N9" s="923"/>
      <x:c r="O9" s="923"/>
    </x:row>
    <x:row r="10" ht="28" customHeight="1">
      <x:c r="A10" s="923" t="str">
        <x:v>Procurement / cost of goods sold</x:v>
      </x:c>
      <x:c r="B10" s="928" t="n">
        <x:f>'CGNX Operating Model'!F22</x:f>
        <x:v>364.0818000000001</x:v>
      </x:c>
      <x:c r="C10" s="929" t="n">
        <x:v>0.02</x:v>
      </x:c>
      <x:c r="D10" s="930" t="n">
        <x:f>B10*C10</x:f>
        <x:v>7.281636000000002</x:v>
      </x:c>
      <x:c r="E10" s="923"/>
      <x:c r="F10" s="931" t="str">
        <x:v>Combined purchasing, logistics, and manufacturing efficiency</x:v>
      </x:c>
      <x:c r="G10" s="923"/>
      <x:c r="H10" s="926" t="str">
        <x:v>FY2030E adjusted EPS A / (D)</x:v>
      </x:c>
      <x:c r="I10" s="926"/>
      <x:c r="J10" s="926"/>
      <x:c r="K10" s="932" t="n">
        <x:f>L31</x:f>
        <x:v>-0.037439700614551485</x:v>
      </x:c>
      <x:c r="L10" s="932"/>
      <x:c r="M10" s="932"/>
      <x:c r="N10" s="923"/>
      <x:c r="O10" s="923"/>
    </x:row>
    <x:row r="11" ht="28" customHeight="1">
      <x:c r="A11" s="923" t="str">
        <x:v>Public-company costs</x:v>
      </x:c>
      <x:c r="B11" s="933" t="n">
        <x:v>12</x:v>
      </x:c>
      <x:c r="C11" s="929" t="n">
        <x:v>1</x:v>
      </x:c>
      <x:c r="D11" s="930" t="n">
        <x:f>B11*C11</x:f>
        <x:v>12</x:v>
      </x:c>
      <x:c r="E11" s="923"/>
      <x:c r="F11" s="931" t="str">
        <x:v>Illustrative audit, listing, board, and standalone-company costs</x:v>
      </x:c>
      <x:c r="G11" s="923"/>
      <x:c r="H11" s="926" t="str">
        <x:v>FY2030E breakeven synergy coverage</x:v>
      </x:c>
      <x:c r="I11" s="926"/>
      <x:c r="J11" s="926"/>
      <x:c r="K11" s="932" t="n">
        <x:f>L35</x:f>
        <x:v>0.5891998444134365</x:v>
      </x:c>
      <x:c r="L11" s="932"/>
      <x:c r="M11" s="932"/>
      <x:c r="N11" s="923"/>
      <x:c r="O11" s="923"/>
    </x:row>
    <x:row r="12" ht="28" customHeight="1">
      <x:c r="A12" s="923" t="str">
        <x:v>IT, facilities, and other</x:v>
      </x:c>
      <x:c r="B12" s="933" t="n">
        <x:v>8</x:v>
      </x:c>
      <x:c r="C12" s="929" t="n">
        <x:v>1</x:v>
      </x:c>
      <x:c r="D12" s="930" t="n">
        <x:f>B12*C12</x:f>
        <x:v>8</x:v>
      </x:c>
      <x:c r="E12" s="923"/>
      <x:c r="F12" s="931" t="str">
        <x:v>Systems, facilities, insurance, and vendor consolidation</x:v>
      </x:c>
      <x:c r="G12" s="923"/>
      <x:c r="H12" s="926" t="str">
        <x:v>Synergy underwriting result</x:v>
      </x:c>
      <x:c r="I12" s="926"/>
      <x:c r="J12" s="926"/>
      <x:c r="K12" s="934" t="str">
        <x:f>IF(K11&gt;=1,"Sufficient to reach adjusted breakeven","Insufficient to reach adjusted breakeven")</x:f>
        <x:v>Insufficient to reach adjusted breakeven</x:v>
      </x:c>
      <x:c r="L12" s="934"/>
      <x:c r="M12" s="934"/>
      <x:c r="N12" s="934"/>
      <x:c r="O12" s="934"/>
    </x:row>
    <x:row r="13" ht="18" customHeight="1">
      <x:c r="A13" s="935" t="str">
        <x:v>Total cost synergy run-rate</x:v>
      </x:c>
      <x:c r="B13" s="935"/>
      <x:c r="C13" s="935"/>
      <x:c r="D13" s="936" t="n">
        <x:f>SUM(D7:D12)</x:f>
        <x:v>98.60066300000001</x:v>
      </x:c>
      <x:c r="E13" s="923"/>
      <x:c r="F13" s="923"/>
      <x:c r="G13" s="923"/>
      <x:c r="H13" s="923"/>
      <x:c r="I13" s="923"/>
      <x:c r="J13" s="923"/>
      <x:c r="K13" s="923"/>
      <x:c r="L13" s="923"/>
      <x:c r="M13" s="923"/>
      <x:c r="N13" s="923"/>
      <x:c r="O13" s="923"/>
    </x:row>
    <x:row r="14" ht="18" customHeight="1">
      <x:c r="A14" s="923" t="str">
        <x:v>Integration cost / cost synergy run-rate</x:v>
      </x:c>
      <x:c r="B14" s="923"/>
      <x:c r="C14" s="923"/>
      <x:c r="D14" s="937" t="n">
        <x:v>1.5</x:v>
      </x:c>
      <x:c r="E14" s="923"/>
      <x:c r="F14" s="923"/>
      <x:c r="G14" s="923"/>
      <x:c r="H14" s="923"/>
      <x:c r="I14" s="923"/>
      <x:c r="J14" s="923"/>
      <x:c r="K14" s="923"/>
      <x:c r="L14" s="923"/>
      <x:c r="M14" s="923"/>
      <x:c r="N14" s="923"/>
      <x:c r="O14" s="923"/>
    </x:row>
    <x:row r="15" ht="18" customHeight="1">
      <x:c r="A15" s="923" t="str">
        <x:v>Total integration cost pool</x:v>
      </x:c>
      <x:c r="B15" s="923"/>
      <x:c r="C15" s="923"/>
      <x:c r="D15" s="930" t="n">
        <x:f>D13*D14</x:f>
        <x:v>147.90099450000002</x:v>
      </x:c>
      <x:c r="E15" s="923"/>
      <x:c r="F15" s="923"/>
      <x:c r="G15" s="923"/>
      <x:c r="H15" s="923"/>
      <x:c r="I15" s="923"/>
      <x:c r="J15" s="923"/>
      <x:c r="K15" s="923"/>
      <x:c r="L15" s="923"/>
      <x:c r="M15" s="923"/>
      <x:c r="N15" s="923"/>
      <x:c r="O15" s="923"/>
    </x:row>
    <x:row r="16" ht="18" customHeight="1">
      <x:c r="A16" s="923"/>
      <x:c r="B16" s="923"/>
      <x:c r="C16" s="923"/>
      <x:c r="D16" s="923"/>
      <x:c r="E16" s="923"/>
      <x:c r="F16" s="923"/>
      <x:c r="G16" s="923"/>
      <x:c r="H16" s="923"/>
      <x:c r="I16" s="923"/>
      <x:c r="J16" s="923"/>
      <x:c r="K16" s="923"/>
      <x:c r="L16" s="923"/>
      <x:c r="M16" s="923"/>
      <x:c r="N16" s="923"/>
      <x:c r="O16" s="923"/>
    </x:row>
    <x:row r="17" ht="18" customHeight="1">
      <x:c r="A17" s="923"/>
      <x:c r="B17" s="923"/>
      <x:c r="C17" s="923"/>
      <x:c r="D17" s="923"/>
      <x:c r="E17" s="923"/>
      <x:c r="F17" s="923"/>
      <x:c r="G17" s="923"/>
      <x:c r="H17" s="923"/>
      <x:c r="I17" s="923"/>
      <x:c r="J17" s="923"/>
      <x:c r="K17" s="923"/>
      <x:c r="L17" s="923"/>
      <x:c r="M17" s="923"/>
      <x:c r="N17" s="923"/>
      <x:c r="O17" s="923"/>
    </x:row>
    <x:row r="18" ht="18" customHeight="1">
      <x:c r="A18" s="869" t="str">
        <x:v>SYNERGY BUILD AND PHASING</x:v>
      </x:c>
      <x:c r="B18" s="869"/>
      <x:c r="C18" s="869"/>
      <x:c r="D18" s="869"/>
      <x:c r="E18" s="869"/>
      <x:c r="F18" s="869"/>
      <x:c r="G18" s="923"/>
      <x:c r="H18" s="869" t="str">
        <x:v>EPS IMPACT AND BREAKEVEN COMPARISON</x:v>
      </x:c>
      <x:c r="I18" s="869"/>
      <x:c r="J18" s="869"/>
      <x:c r="K18" s="869"/>
      <x:c r="L18" s="869"/>
      <x:c r="M18" s="869"/>
      <x:c r="N18" s="869"/>
      <x:c r="O18" s="869"/>
    </x:row>
    <x:row r="19" ht="18" customHeight="1">
      <x:c r="A19" s="938" t="str">
        <x:v>$ in millions</x:v>
      </x:c>
      <x:c r="B19" s="938" t="str">
        <x:v>FY2027E</x:v>
      </x:c>
      <x:c r="C19" s="938" t="str">
        <x:v>FY2028E</x:v>
      </x:c>
      <x:c r="D19" s="938" t="str">
        <x:v>FY2029E</x:v>
      </x:c>
      <x:c r="E19" s="938" t="str">
        <x:v>FY2030E</x:v>
      </x:c>
      <x:c r="F19" s="938" t="str">
        <x:v>Methodology</x:v>
      </x:c>
      <x:c r="G19" s="923"/>
      <x:c r="H19" s="938" t="str">
        <x:v>$ in millions, except per-share data</x:v>
      </x:c>
      <x:c r="I19" s="938" t="str">
        <x:v>FY2027E</x:v>
      </x:c>
      <x:c r="J19" s="938" t="str">
        <x:v>FY2028E</x:v>
      </x:c>
      <x:c r="K19" s="938" t="str">
        <x:v>FY2029E</x:v>
      </x:c>
      <x:c r="L19" s="938" t="str">
        <x:v>FY2030E</x:v>
      </x:c>
      <x:c r="M19" s="938" t="str">
        <x:v>Methodology</x:v>
      </x:c>
      <x:c r="N19" s="923"/>
      <x:c r="O19" s="923"/>
    </x:row>
    <x:row r="20" ht="18" customHeight="1">
      <x:c r="A20" s="939" t="str">
        <x:v>Target revenue</x:v>
      </x:c>
      <x:c r="B20" s="951" t="n">
        <x:f>'CGNX Operating Model'!F20</x:f>
        <x:v>1242.6000000000001</x:v>
      </x:c>
      <x:c r="C20" s="951" t="n">
        <x:f>'CGNX Operating Model'!G20</x:f>
        <x:v>1342.0080000000003</x:v>
      </x:c>
      <x:c r="D20" s="951" t="n">
        <x:f>'CGNX Operating Model'!H20</x:f>
        <x:v>1435.9485600000003</x:v>
      </x:c>
      <x:c r="E20" s="951" t="n">
        <x:f>'CGNX Operating Model'!I20</x:f>
        <x:v>1529.2852164000003</x:v>
      </x:c>
      <x:c r="F20" s="931" t="str">
        <x:v>CGNX standalone forecast</x:v>
      </x:c>
      <x:c r="G20" s="923"/>
      <x:c r="H20" s="939" t="str">
        <x:v>PF net income incl. PPA — before synergies</x:v>
      </x:c>
      <x:c r="I20" s="951" t="n">
        <x:f>'Accretion Dilution'!B34</x:f>
        <x:v>1354.1930889642667</x:v>
      </x:c>
      <x:c r="J20" s="951" t="n">
        <x:f>'Accretion Dilution'!C34</x:f>
        <x:v>1293.3769347819332</x:v>
      </x:c>
      <x:c r="K20" s="951" t="n">
        <x:f>'Accretion Dilution'!D34</x:f>
        <x:v>1444.083213964627</x:v>
      </x:c>
      <x:c r="L20" s="951" t="n">
        <x:f>'Accretion Dilution'!E34</x:f>
        <x:v>1567.045690391145</x:v>
      </x:c>
      <x:c r="M20" s="931" t="str">
        <x:v>Existing merger model</x:v>
      </x:c>
      <x:c r="N20" s="923"/>
      <x:c r="O20" s="923"/>
    </x:row>
    <x:row r="21" ht="18" customHeight="1">
      <x:c r="A21" s="939" t="str">
        <x:v>Cost synergy phase-in</x:v>
      </x:c>
      <x:c r="B21" s="952" t="n">
        <x:v>0.25</x:v>
      </x:c>
      <x:c r="C21" s="952" t="n">
        <x:v>0.6</x:v>
      </x:c>
      <x:c r="D21" s="952" t="n">
        <x:v>0.9</x:v>
      </x:c>
      <x:c r="E21" s="952" t="n">
        <x:v>1</x:v>
      </x:c>
      <x:c r="F21" s="931" t="str">
        <x:v>25% / 60% / 90% / 100% cost ramp</x:v>
      </x:c>
      <x:c r="G21" s="923"/>
      <x:c r="H21" s="939" t="str">
        <x:v>After-tax net synergy incl. integration costs</x:v>
      </x:c>
      <x:c r="I21" s="953" t="n">
        <x:f>B32</x:f>
        <x:v>-35.02064588500001</x:v>
      </x:c>
      <x:c r="J21" s="953" t="n">
        <x:f>C32</x:f>
        <x:v>22.805070402750005</x:v>
      </x:c>
      <x:c r="K21" s="953" t="n">
        <x:f>D32</x:f>
        <x:v>77.53558951755002</x:v>
      </x:c>
      <x:c r="L21" s="953" t="n">
        <x:f>E32</x:f>
        <x:v>114.13858339868003</x:v>
      </x:c>
      <x:c r="M21" s="931" t="str">
        <x:v>Net synergy after implementation costs and tax</x:v>
      </x:c>
      <x:c r="N21" s="923"/>
      <x:c r="O21" s="923"/>
    </x:row>
    <x:row r="22" ht="18" customHeight="1">
      <x:c r="A22" s="939" t="str">
        <x:v>Recognized cost synergies</x:v>
      </x:c>
      <x:c r="B22" s="953" t="n">
        <x:f>$D$13*B21</x:f>
        <x:v>24.650165750000003</x:v>
      </x:c>
      <x:c r="C22" s="953" t="n">
        <x:f>$D$13*C21</x:f>
        <x:v>59.160397800000005</x:v>
      </x:c>
      <x:c r="D22" s="953" t="n">
        <x:f>$D$13*D21</x:f>
        <x:v>88.74059670000001</x:v>
      </x:c>
      <x:c r="E22" s="953" t="n">
        <x:f>$D$13*E21</x:f>
        <x:v>98.60066300000001</x:v>
      </x:c>
      <x:c r="F22" s="931" t="str">
        <x:v>Full run-rate × phase-in</x:v>
      </x:c>
      <x:c r="G22" s="923"/>
      <x:c r="H22" s="940" t="str">
        <x:v>PF net income incl. PPA — after synergies</x:v>
      </x:c>
      <x:c r="I22" s="954" t="n">
        <x:f>SUM(I20:I21)</x:f>
        <x:v>1319.1724430792667</x:v>
      </x:c>
      <x:c r="J22" s="954" t="n">
        <x:f>SUM(J20:J21)</x:f>
        <x:v>1316.1820051846832</x:v>
      </x:c>
      <x:c r="K22" s="954" t="n">
        <x:f>SUM(K20:K21)</x:f>
        <x:v>1521.618803482177</x:v>
      </x:c>
      <x:c r="L22" s="954" t="n">
        <x:f>SUM(L20:L21)</x:f>
        <x:v>1681.184273789825</x:v>
      </x:c>
      <x:c r="M22" s="931" t="str">
        <x:v>Reported-style earnings after synergies</x:v>
      </x:c>
      <x:c r="N22" s="923"/>
      <x:c r="O22" s="923"/>
    </x:row>
    <x:row r="23" ht="18" customHeight="1">
      <x:c r="A23" s="939" t="str">
        <x:v>Revenue synergy % of target revenue</x:v>
      </x:c>
      <x:c r="B23" s="952" t="n">
        <x:v>0.01</x:v>
      </x:c>
      <x:c r="C23" s="952" t="n">
        <x:v>0.04</x:v>
      </x:c>
      <x:c r="D23" s="952" t="n">
        <x:v>0.055</x:v>
      </x:c>
      <x:c r="E23" s="952" t="n">
        <x:v>0.075</x:v>
      </x:c>
      <x:c r="F23" s="931" t="str">
        <x:v>Cross-sell and channel reach; separately underwritten</x:v>
      </x:c>
      <x:c r="G23" s="923"/>
      <x:c r="H23" s="939" t="str">
        <x:v>Pro forma diluted shares</x:v>
      </x:c>
      <x:c r="I23" s="958" t="n">
        <x:f>'Accretion Dilution'!B38</x:f>
        <x:v>122.21494515628693</x:v>
      </x:c>
      <x:c r="J23" s="958" t="n">
        <x:f>'Accretion Dilution'!C38</x:f>
        <x:v>132.24187080537388</x:v>
      </x:c>
      <x:c r="K23" s="958" t="n">
        <x:f>'Accretion Dilution'!D38</x:f>
        <x:v>131.35861274703146</x:v>
      </x:c>
      <x:c r="L23" s="958" t="n">
        <x:f>'Accretion Dilution'!E38</x:f>
        <x:v>130.4824207531558</x:v>
      </x:c>
      <x:c r="M23" s="931" t="str">
        <x:v>Existing merger model</x:v>
      </x:c>
      <x:c r="N23" s="923"/>
      <x:c r="O23" s="923"/>
    </x:row>
    <x:row r="24" ht="18" customHeight="1">
      <x:c r="A24" s="939" t="str">
        <x:v>Incremental revenue</x:v>
      </x:c>
      <x:c r="B24" s="953" t="n">
        <x:f>B20*B23</x:f>
        <x:v>12.426000000000002</x:v>
      </x:c>
      <x:c r="C24" s="953" t="n">
        <x:f>C20*C23</x:f>
        <x:v>53.68032000000001</x:v>
      </x:c>
      <x:c r="D24" s="953" t="n">
        <x:f>D20*D23</x:f>
        <x:v>78.97717080000001</x:v>
      </x:c>
      <x:c r="E24" s="953" t="n">
        <x:f>E20*E23</x:f>
        <x:v>114.69639123000002</x:v>
      </x:c>
      <x:c r="F24" s="931" t="str">
        <x:v>Target revenue × revenue synergy %</x:v>
      </x:c>
      <x:c r="G24" s="923"/>
      <x:c r="H24" s="939" t="str">
        <x:v>PF EPS incl. PPA and integration costs</x:v>
      </x:c>
      <x:c r="I24" s="959" t="n">
        <x:f>I22/I23</x:f>
        <x:v>10.79387174287339</x:v>
      </x:c>
      <x:c r="J24" s="959" t="n">
        <x:f>J22/J23</x:f>
        <x:v>9.952838667276309</x:v>
      </x:c>
      <x:c r="K24" s="959" t="n">
        <x:f>K22/K23</x:f>
        <x:v>11.583700312156074</x:v>
      </x:c>
      <x:c r="L24" s="959" t="n">
        <x:f>L22/L23</x:f>
        <x:v>12.884373727019199</x:v>
      </x:c>
      <x:c r="M24" s="931" t="str">
        <x:v>Net income ÷ diluted shares</x:v>
      </x:c>
      <x:c r="N24" s="923"/>
      <x:c r="O24" s="923"/>
    </x:row>
    <x:row r="25" ht="18" customHeight="1">
      <x:c r="A25" s="939" t="str">
        <x:v>Contribution margin</x:v>
      </x:c>
      <x:c r="B25" s="952" t="n">
        <x:v>0.4</x:v>
      </x:c>
      <x:c r="C25" s="952" t="n">
        <x:v>0.4</x:v>
      </x:c>
      <x:c r="D25" s="952" t="n">
        <x:v>0.4</x:v>
      </x:c>
      <x:c r="E25" s="952" t="n">
        <x:v>0.4</x:v>
      </x:c>
      <x:c r="F25" s="931" t="str">
        <x:v>Incremental gross profit less variable selling support</x:v>
      </x:c>
      <x:c r="G25" s="923"/>
      <x:c r="H25" s="944" t="str">
        <x:v>EPS A / (D) incl. PPA and integration costs</x:v>
      </x:c>
      <x:c r="I25" s="960" t="n">
        <x:f>I24/'Accretion Dilution'!B39-1</x:f>
        <x:v>-0.22563514291746978</x:v>
      </x:c>
      <x:c r="J25" s="960" t="n">
        <x:f>J24/'Accretion Dilution'!C39-1</x:f>
        <x:v>-0.32638851848578065</x:v>
      </x:c>
      <x:c r="K25" s="960" t="n">
        <x:f>K24/'Accretion Dilution'!D39-1</x:f>
        <x:v>-0.2533440492478187</x:v>
      </x:c>
      <x:c r="L25" s="960" t="n">
        <x:f>L24/'Accretion Dilution'!E39-1</x:f>
        <x:v>-0.20905327512755578</x:v>
      </x:c>
      <x:c r="M25" s="931" t="str">
        <x:v>PF EPS ÷ buyer standalone EPS − 1</x:v>
      </x:c>
      <x:c r="N25" s="923"/>
      <x:c r="O25" s="923"/>
    </x:row>
    <x:row r="26" ht="18" customHeight="1">
      <x:c r="A26" s="939" t="str">
        <x:v>Revenue synergy operating profit</x:v>
      </x:c>
      <x:c r="B26" s="953" t="n">
        <x:f>B24*B25</x:f>
        <x:v>4.9704000000000015</x:v>
      </x:c>
      <x:c r="C26" s="953" t="n">
        <x:f>C24*C25</x:f>
        <x:v>21.472128000000005</x:v>
      </x:c>
      <x:c r="D26" s="953" t="n">
        <x:f>D24*D25</x:f>
        <x:v>31.590868320000006</x:v>
      </x:c>
      <x:c r="E26" s="953" t="n">
        <x:f>E24*E25</x:f>
        <x:v>45.87855649200001</x:v>
      </x:c>
      <x:c r="F26" s="931" t="str">
        <x:v>Incremental revenue × contribution margin</x:v>
      </x:c>
      <x:c r="G26" s="923"/>
      <x:c r="H26" s="939" t="str"/>
      <x:c r="I26" s="957"/>
      <x:c r="J26" s="957"/>
      <x:c r="K26" s="957"/>
      <x:c r="L26" s="957"/>
      <x:c r="M26" s="931" t="str"/>
      <x:c r="N26" s="923"/>
      <x:c r="O26" s="923"/>
    </x:row>
    <x:row r="27" ht="18" customHeight="1">
      <x:c r="A27" s="940" t="str">
        <x:v>Gross recurring pre-tax synergies</x:v>
      </x:c>
      <x:c r="B27" s="954" t="n">
        <x:f>SUM(B22,B26)</x:f>
        <x:v>29.620565750000004</x:v>
      </x:c>
      <x:c r="C27" s="954" t="n">
        <x:f>SUM(C22,C26)</x:f>
        <x:v>80.63252580000001</x:v>
      </x:c>
      <x:c r="D27" s="954" t="n">
        <x:f>SUM(D22,D26)</x:f>
        <x:v>120.33146502000002</x:v>
      </x:c>
      <x:c r="E27" s="954" t="n">
        <x:f>SUM(E22,E26)</x:f>
        <x:v>144.47921949200003</x:v>
      </x:c>
      <x:c r="F27" s="931" t="str">
        <x:v>Cost synergies + revenue contribution</x:v>
      </x:c>
      <x:c r="G27" s="923"/>
      <x:c r="H27" s="939" t="str">
        <x:v>PF net income excl. PPA — before synergies</x:v>
      </x:c>
      <x:c r="I27" s="951" t="n">
        <x:f>'Accretion Dilution'!B43</x:f>
        <x:v>1589.7371294976</x:v>
      </x:c>
      <x:c r="J27" s="951" t="n">
        <x:f>'Accretion Dilution'!C43</x:f>
        <x:v>1737.8856238485998</x:v>
      </x:c>
      <x:c r="K27" s="951" t="n">
        <x:f>'Accretion Dilution'!D43</x:f>
        <x:v>1835.4331190312937</x:v>
      </x:c>
      <x:c r="L27" s="951" t="n">
        <x:f>'Accretion Dilution'!E43</x:f>
        <x:v>1931.8162034578115</x:v>
      </x:c>
      <x:c r="M27" s="931" t="str">
        <x:v>Adds back PPA amortization</x:v>
      </x:c>
      <x:c r="N27" s="923"/>
      <x:c r="O27" s="923"/>
    </x:row>
    <x:row r="28" ht="18" customHeight="1">
      <x:c r="A28" s="939" t="str">
        <x:v>Integration cost timing</x:v>
      </x:c>
      <x:c r="B28" s="952" t="n">
        <x:v>0.5</x:v>
      </x:c>
      <x:c r="C28" s="952" t="n">
        <x:v>0.35</x:v>
      </x:c>
      <x:c r="D28" s="952" t="n">
        <x:v>0.15</x:v>
      </x:c>
      <x:c r="E28" s="952" t="n">
        <x:v>0</x:v>
      </x:c>
      <x:c r="F28" s="931" t="str">
        <x:v>50% / 35% / 15% / 0% timing</x:v>
      </x:c>
      <x:c r="G28" s="923"/>
      <x:c r="H28" s="939" t="str">
        <x:v>After-tax recurring synergies excl. integration costs</x:v>
      </x:c>
      <x:c r="I28" s="953" t="n">
        <x:f>B27*(1-B31)</x:f>
        <x:v>23.400246942500004</x:v>
      </x:c>
      <x:c r="J28" s="953" t="n">
        <x:f>C27*(1-C31)</x:f>
        <x:v>63.69969538200001</x:v>
      </x:c>
      <x:c r="K28" s="953" t="n">
        <x:f>D27*(1-D31)</x:f>
        <x:v>95.06185736580002</x:v>
      </x:c>
      <x:c r="L28" s="953" t="n">
        <x:f>E27*(1-E31)</x:f>
        <x:v>114.13858339868003</x:v>
      </x:c>
      <x:c r="M28" s="931" t="str">
        <x:v>Recurring pre-tax synergy × (1 − tax rate)</x:v>
      </x:c>
      <x:c r="N28" s="923"/>
      <x:c r="O28" s="923"/>
    </x:row>
    <x:row r="29" ht="18" customHeight="1">
      <x:c r="A29" s="939" t="str">
        <x:v>Integration costs</x:v>
      </x:c>
      <x:c r="B29" s="953" t="n">
        <x:f>$D$15*B28</x:f>
        <x:v>73.95049725000001</x:v>
      </x:c>
      <x:c r="C29" s="953" t="n">
        <x:f>$D$15*C28</x:f>
        <x:v>51.765348075000006</x:v>
      </x:c>
      <x:c r="D29" s="953" t="n">
        <x:f>$D$15*D28</x:f>
        <x:v>22.185149175000003</x:v>
      </x:c>
      <x:c r="E29" s="953" t="n">
        <x:f>$D$15*E28</x:f>
        <x:v>0</x:v>
      </x:c>
      <x:c r="F29" s="931" t="str">
        <x:v>Total cost pool × timing</x:v>
      </x:c>
      <x:c r="G29" s="923"/>
      <x:c r="H29" s="940" t="str">
        <x:v>Adjusted PF net income after synergies</x:v>
      </x:c>
      <x:c r="I29" s="954" t="n">
        <x:f>SUM(I27:I28)</x:f>
        <x:v>1613.1373764401</x:v>
      </x:c>
      <x:c r="J29" s="954" t="n">
        <x:f>SUM(J27:J28)</x:f>
        <x:v>1801.5853192306</x:v>
      </x:c>
      <x:c r="K29" s="954" t="n">
        <x:f>SUM(K27:K28)</x:f>
        <x:v>1930.4949763970938</x:v>
      </x:c>
      <x:c r="L29" s="954" t="n">
        <x:f>SUM(L27:L28)</x:f>
        <x:v>2045.9547868564916</x:v>
      </x:c>
      <x:c r="M29" s="931" t="str">
        <x:v>Adjusted earnings plus recurring synergy</x:v>
      </x:c>
      <x:c r="N29" s="923"/>
      <x:c r="O29" s="923"/>
    </x:row>
    <x:row r="30" ht="18" customHeight="1">
      <x:c r="A30" s="940" t="str">
        <x:v>Net pre-tax synergy after integration</x:v>
      </x:c>
      <x:c r="B30" s="954" t="n">
        <x:f>B27-B29</x:f>
        <x:v>-44.32993150000001</x:v>
      </x:c>
      <x:c r="C30" s="954" t="n">
        <x:f>C27-C29</x:f>
        <x:v>28.867177725000005</x:v>
      </x:c>
      <x:c r="D30" s="954" t="n">
        <x:f>D27-D29</x:f>
        <x:v>98.14631584500002</x:v>
      </x:c>
      <x:c r="E30" s="954" t="n">
        <x:f>E27-E29</x:f>
        <x:v>144.47921949200003</x:v>
      </x:c>
      <x:c r="F30" s="931" t="str">
        <x:v>Recurring synergies less integration costs</x:v>
      </x:c>
      <x:c r="G30" s="923"/>
      <x:c r="H30" s="939" t="str">
        <x:v>Adjusted PF EPS after synergies</x:v>
      </x:c>
      <x:c r="I30" s="959" t="n">
        <x:f>I29/I23</x:f>
        <x:v>13.199182590780861</x:v>
      </x:c>
      <x:c r="J30" s="959" t="n">
        <x:f>J29/J23</x:f>
        <x:v>13.623410711438524</x:v>
      </x:c>
      <x:c r="K30" s="959" t="n">
        <x:f>K29/K23</x:f>
        <x:v>14.696371528487541</x:v>
      </x:c>
      <x:c r="L30" s="959" t="n">
        <x:f>L29/L23</x:f>
        <x:v>15.679926652548781</x:v>
      </x:c>
      <x:c r="M30" s="931" t="str">
        <x:v>Adjusted net income ÷ diluted shares</x:v>
      </x:c>
      <x:c r="N30" s="923"/>
      <x:c r="O30" s="923"/>
    </x:row>
    <x:row r="31" ht="18" customHeight="1">
      <x:c r="A31" s="939" t="str">
        <x:v>Buyer tax rate</x:v>
      </x:c>
      <x:c r="B31" s="955" t="n">
        <x:f>'Purchase Accounting'!$B$11</x:f>
        <x:v>0.21</x:v>
      </x:c>
      <x:c r="C31" s="955" t="n">
        <x:f>'Purchase Accounting'!$B$11</x:f>
        <x:v>0.21</x:v>
      </x:c>
      <x:c r="D31" s="955" t="n">
        <x:f>'Purchase Accounting'!$B$11</x:f>
        <x:v>0.21</x:v>
      </x:c>
      <x:c r="E31" s="955" t="n">
        <x:f>'Purchase Accounting'!$B$11</x:f>
        <x:v>0.21</x:v>
      </x:c>
      <x:c r="F31" s="931" t="str">
        <x:v>Rockwell transaction tax assumption</x:v>
      </x:c>
      <x:c r="G31" s="923"/>
      <x:c r="H31" s="944" t="str">
        <x:v>Adjusted EPS A / (D) after synergies</x:v>
      </x:c>
      <x:c r="I31" s="960" t="n">
        <x:f>I30/'Accretion Dilution'!B39-1</x:f>
        <x:v>-0.05307535757365234</x:v>
      </x:c>
      <x:c r="J31" s="960" t="n">
        <x:f>J30/'Accretion Dilution'!C39-1</x:f>
        <x:v>-0.07796296319147167</x:v>
      </x:c>
      <x:c r="K31" s="960" t="n">
        <x:f>K30/'Accretion Dilution'!D39-1</x:f>
        <x:v>-0.05270915506206475</x:v>
      </x:c>
      <x:c r="L31" s="960" t="n">
        <x:f>L30/'Accretion Dilution'!E39-1</x:f>
        <x:v>-0.037439700614551485</x:v>
      </x:c>
      <x:c r="M31" s="931" t="str">
        <x:v>Adjusted PF EPS ÷ buyer EPS − 1</x:v>
      </x:c>
      <x:c r="N31" s="923"/>
      <x:c r="O31" s="923"/>
    </x:row>
    <x:row r="32" ht="18" customHeight="1">
      <x:c r="A32" s="944" t="str">
        <x:v>After-tax net synergy</x:v>
      </x:c>
      <x:c r="B32" s="956" t="n">
        <x:f>B30*(1-B31)</x:f>
        <x:v>-35.02064588500001</x:v>
      </x:c>
      <x:c r="C32" s="956" t="n">
        <x:f>C30*(1-C31)</x:f>
        <x:v>22.805070402750005</x:v>
      </x:c>
      <x:c r="D32" s="956" t="n">
        <x:f>D30*(1-D31)</x:f>
        <x:v>77.53558951755002</x:v>
      </x:c>
      <x:c r="E32" s="956" t="n">
        <x:f>E30*(1-E31)</x:f>
        <x:v>114.13858339868003</x:v>
      </x:c>
      <x:c r="F32" s="931" t="str">
        <x:v>Net pre-tax synergy × (1 − tax rate)</x:v>
      </x:c>
      <x:c r="G32" s="923"/>
      <x:c r="H32" s="939" t="str"/>
      <x:c r="I32" s="957"/>
      <x:c r="J32" s="957"/>
      <x:c r="K32" s="957"/>
      <x:c r="L32" s="957"/>
      <x:c r="M32" s="931" t="str"/>
      <x:c r="N32" s="923"/>
      <x:c r="O32" s="923"/>
    </x:row>
    <x:row r="33" ht="18" customHeight="1">
      <x:c r="A33" s="939"/>
      <x:c r="B33" s="957"/>
      <x:c r="C33" s="957"/>
      <x:c r="D33" s="957"/>
      <x:c r="E33" s="957"/>
      <x:c r="F33" s="923"/>
      <x:c r="G33" s="923"/>
      <x:c r="H33" s="939" t="str">
        <x:v>Adjusted breakeven pre-tax synergy required</x:v>
      </x:c>
      <x:c r="I33" s="951" t="n">
        <x:f>'Accretion Dilution'!I29</x:f>
        <x:v>144.07214055175135</x:v>
      </x:c>
      <x:c r="J33" s="951" t="n">
        <x:f>'Accretion Dilution'!J29</x:f>
        <x:v>273.4594677681942</x:v>
      </x:c>
      <x:c r="K33" s="951" t="n">
        <x:f>'Accretion Dilution'!K29</x:f>
        <x:v>256.30184113635056</x:v>
      </x:c>
      <x:c r="L33" s="951" t="n">
        <x:f>'Accretion Dilution'!L29</x:f>
        <x:v>245.21258934790245</x:v>
      </x:c>
      <x:c r="M33" s="931" t="str">
        <x:v>Existing adjusted breakeven threshold</x:v>
      </x:c>
      <x:c r="N33" s="923"/>
      <x:c r="O33" s="923"/>
    </x:row>
    <x:row r="34" ht="18" customHeight="1">
      <x:c r="A34" s="939"/>
      <x:c r="B34" s="957"/>
      <x:c r="C34" s="957"/>
      <x:c r="D34" s="957"/>
      <x:c r="E34" s="957"/>
      <x:c r="F34" s="923"/>
      <x:c r="G34" s="923"/>
      <x:c r="H34" s="939" t="str">
        <x:v>Modeled gross recurring pre-tax synergies</x:v>
      </x:c>
      <x:c r="I34" s="953" t="n">
        <x:f>B27</x:f>
        <x:v>29.620565750000004</x:v>
      </x:c>
      <x:c r="J34" s="953" t="n">
        <x:f>C27</x:f>
        <x:v>80.63252580000001</x:v>
      </x:c>
      <x:c r="K34" s="953" t="n">
        <x:f>D27</x:f>
        <x:v>120.33146502000002</x:v>
      </x:c>
      <x:c r="L34" s="953" t="n">
        <x:f>E27</x:f>
        <x:v>144.47921949200003</x:v>
      </x:c>
      <x:c r="M34" s="931" t="str">
        <x:v>Cost plus revenue operating synergies</x:v>
      </x:c>
      <x:c r="N34" s="923"/>
      <x:c r="O34" s="923"/>
    </x:row>
    <x:row r="35" ht="18" customHeight="1">
      <x:c r="A35" s="939"/>
      <x:c r="B35" s="957"/>
      <x:c r="C35" s="957"/>
      <x:c r="D35" s="957"/>
      <x:c r="E35" s="957"/>
      <x:c r="F35" s="923"/>
      <x:c r="G35" s="923"/>
      <x:c r="H35" s="948" t="str">
        <x:v>Breakeven synergy coverage</x:v>
      </x:c>
      <x:c r="I35" s="961" t="n">
        <x:f>I34/I33</x:f>
        <x:v>0.20559537490428392</x:v>
      </x:c>
      <x:c r="J35" s="961" t="n">
        <x:f>J34/J33</x:f>
        <x:v>0.2948609768682447</x:v>
      </x:c>
      <x:c r="K35" s="961" t="n">
        <x:f>K34/K33</x:f>
        <x:v>0.46949122365447477</x:v>
      </x:c>
      <x:c r="L35" s="961" t="n">
        <x:f>L34/L33</x:f>
        <x:v>0.5891998444134365</x:v>
      </x:c>
      <x:c r="M35" s="931" t="str">
        <x:v>Modeled recurring synergies ÷ required synergies</x:v>
      </x:c>
      <x:c r="N35" s="923"/>
      <x:c r="O35" s="923"/>
    </x:row>
    <x:row r="36" ht="18" customHeight="1">
      <x:c r="A36" s="923"/>
      <x:c r="B36" s="923"/>
      <x:c r="C36" s="923"/>
      <x:c r="D36" s="923"/>
      <x:c r="E36" s="923"/>
      <x:c r="F36" s="923"/>
      <x:c r="G36" s="923"/>
      <x:c r="H36" s="923"/>
      <x:c r="I36" s="923"/>
      <x:c r="J36" s="923"/>
      <x:c r="K36" s="923"/>
      <x:c r="L36" s="923"/>
      <x:c r="M36" s="923"/>
      <x:c r="N36" s="923"/>
      <x:c r="O36" s="923"/>
    </x:row>
    <x:row r="37" ht="18" customHeight="1">
      <x:c r="A37" s="923"/>
      <x:c r="B37" s="923"/>
      <x:c r="C37" s="923"/>
      <x:c r="D37" s="923"/>
      <x:c r="E37" s="923"/>
      <x:c r="F37" s="923"/>
      <x:c r="G37" s="923"/>
      <x:c r="H37" s="923"/>
      <x:c r="I37" s="923"/>
      <x:c r="J37" s="923"/>
      <x:c r="K37" s="923"/>
      <x:c r="L37" s="923"/>
      <x:c r="M37" s="923"/>
      <x:c r="N37" s="923"/>
      <x:c r="O37" s="923"/>
    </x:row>
    <x:row r="38" ht="18" customHeight="1">
      <x:c r="A38" s="869" t="str">
        <x:v>INTERPRETATION AND UNDERWRITING CONSIDERATIONS</x:v>
      </x:c>
      <x:c r="B38" s="869"/>
      <x:c r="C38" s="869"/>
      <x:c r="D38" s="869"/>
      <x:c r="E38" s="869"/>
      <x:c r="F38" s="869"/>
      <x:c r="G38" s="869"/>
      <x:c r="H38" s="869"/>
      <x:c r="I38" s="869"/>
      <x:c r="J38" s="869"/>
      <x:c r="K38" s="869"/>
      <x:c r="L38" s="869"/>
      <x:c r="M38" s="869"/>
      <x:c r="N38" s="869"/>
      <x:c r="O38" s="869"/>
    </x:row>
    <x:row r="39" ht="24" customHeight="1">
      <x:c r="A39" s="950" t="str">
        <x:v>Cost synergies are more defensible than revenue synergies because they can be mapped to identifiable expense pools, owners, actions, and timing.</x:v>
      </x:c>
      <x:c r="B39" s="950"/>
      <x:c r="C39" s="950"/>
      <x:c r="D39" s="950"/>
      <x:c r="E39" s="950"/>
      <x:c r="F39" s="950"/>
      <x:c r="G39" s="950"/>
      <x:c r="H39" s="950"/>
      <x:c r="I39" s="950"/>
      <x:c r="J39" s="950"/>
      <x:c r="K39" s="950"/>
      <x:c r="L39" s="950"/>
      <x:c r="M39" s="950"/>
      <x:c r="N39" s="950"/>
      <x:c r="O39" s="950"/>
    </x:row>
    <x:row r="40" ht="24" customHeight="1">
      <x:c r="A40" s="950" t="str">
        <x:v>Revenue synergies are modeled at an incremental contribution margin—not at 100% margin—because cross-selling requires delivery, support, and selling resources.</x:v>
      </x:c>
      <x:c r="B40" s="950"/>
      <x:c r="C40" s="950"/>
      <x:c r="D40" s="950"/>
      <x:c r="E40" s="950"/>
      <x:c r="F40" s="950"/>
      <x:c r="G40" s="950"/>
      <x:c r="H40" s="950"/>
      <x:c r="I40" s="950"/>
      <x:c r="J40" s="950"/>
      <x:c r="K40" s="950"/>
      <x:c r="L40" s="950"/>
      <x:c r="M40" s="950"/>
      <x:c r="N40" s="950"/>
      <x:c r="O40" s="950"/>
    </x:row>
    <x:row r="41" ht="24" customHeight="1">
      <x:c r="A41" s="950" t="str">
        <x:v>Integration costs reduce reported earnings during implementation but are excluded from recurring adjusted EPS once the benefits are fully established.</x:v>
      </x:c>
      <x:c r="B41" s="950"/>
      <x:c r="C41" s="950"/>
      <x:c r="D41" s="950"/>
      <x:c r="E41" s="950"/>
      <x:c r="F41" s="950"/>
      <x:c r="G41" s="950"/>
      <x:c r="H41" s="950"/>
      <x:c r="I41" s="950"/>
      <x:c r="J41" s="950"/>
      <x:c r="K41" s="950"/>
      <x:c r="L41" s="950"/>
      <x:c r="M41" s="950"/>
      <x:c r="N41" s="950"/>
      <x:c r="O41" s="950"/>
    </x:row>
    <x:row r="42" ht="24" customHeight="1">
      <x:c r="A42" s="950" t="str">
        <x:v>At the $80 offer, the independently underwritten base case remains dilutive; forcing the breakeven synergy amount into the model would mask overpayment risk.</x:v>
      </x:c>
      <x:c r="B42" s="950"/>
      <x:c r="C42" s="950"/>
      <x:c r="D42" s="950"/>
      <x:c r="E42" s="950"/>
      <x:c r="F42" s="950"/>
      <x:c r="G42" s="950"/>
      <x:c r="H42" s="950"/>
      <x:c r="I42" s="950"/>
      <x:c r="J42" s="950"/>
      <x:c r="K42" s="950"/>
      <x:c r="L42" s="950"/>
      <x:c r="M42" s="950"/>
      <x:c r="N42" s="950"/>
      <x:c r="O42" s="950"/>
    </x:row>
  </x:sheetData>
  <x:mergeCells>
    <x:mergeCell ref="A1:O1"/>
    <x:mergeCell ref="A2:O2"/>
    <x:mergeCell ref="B3:F3"/>
    <x:mergeCell ref="H3:I3"/>
    <x:mergeCell ref="J3:O3"/>
    <x:mergeCell ref="A5:F5"/>
    <x:mergeCell ref="A13:C13"/>
    <x:mergeCell ref="A14:C14"/>
    <x:mergeCell ref="A15:C15"/>
    <x:mergeCell ref="H5:O5"/>
    <x:mergeCell ref="H6:J6"/>
    <x:mergeCell ref="H7:J7"/>
    <x:mergeCell ref="H8:J8"/>
    <x:mergeCell ref="H9:J9"/>
    <x:mergeCell ref="H10:J10"/>
    <x:mergeCell ref="H11:J11"/>
    <x:mergeCell ref="H12:J12"/>
    <x:mergeCell ref="K6:M6"/>
    <x:mergeCell ref="K7:M7"/>
    <x:mergeCell ref="K8:M8"/>
    <x:mergeCell ref="K9:M9"/>
    <x:mergeCell ref="K10:M10"/>
    <x:mergeCell ref="K11:M11"/>
    <x:mergeCell ref="K12:O12"/>
    <x:mergeCell ref="A18:F18"/>
    <x:mergeCell ref="H18:O18"/>
    <x:mergeCell ref="A38:O38"/>
    <x:mergeCell ref="A39:O39"/>
    <x:mergeCell ref="A40:O40"/>
    <x:mergeCell ref="A41:O41"/>
    <x:mergeCell ref="A42:O42"/>
  </x:mergeCell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ht="26" customHeight="1">
      <x:c r="A1" s="3" t="str">
        <x:v>Sensitivities</x:v>
      </x:c>
      <x:c r="B1" s="3"/>
      <x:c r="C1" s="3"/>
      <x:c r="D1" s="3"/>
      <x:c r="E1" s="3"/>
      <x:c r="F1" s="3"/>
      <x:c r="G1" s="3"/>
      <x:c r="H1" s="3"/>
    </x:row>
    <x:row r="2" ht="30" customHeight="1">
      <x:c r="A2" s="7" t="str">
        <x:v>Valuation and transaction sensitivity analyses</x:v>
      </x:c>
      <x:c r="B2" s="7"/>
      <x:c r="C2" s="7"/>
      <x:c r="D2" s="7"/>
      <x:c r="E2" s="7"/>
      <x:c r="F2" s="7"/>
      <x:c r="G2" s="7"/>
      <x:c r="H2" s="7"/>
    </x:row>
    <x:row r="3">
      <x:c r="A3" s="8" t="str">
        <x:v>Status</x:v>
      </x:c>
      <x:c r="B3" s="10" t="str">
        <x:v>Setup / no financial data loaded</x:v>
      </x:c>
    </x:row>
    <x:row r="5">
      <x:c r="A5" s="12" t="str">
        <x:v>WORKSHEET STRUCTURE</x:v>
      </x:c>
      <x:c r="B5" s="12"/>
      <x:c r="C5" s="12"/>
      <x:c r="D5" s="12"/>
      <x:c r="E5" s="12"/>
      <x:c r="F5" s="12"/>
      <x:c r="G5" s="12"/>
      <x:c r="H5" s="12"/>
    </x:row>
    <x:row r="6">
      <x:c r="A6" s="13" t="str">
        <x:v>Inputs</x:v>
      </x:c>
      <x:c r="B6" s="14" t="str">
        <x:v>To be populated from source documents or visible assumptions</x:v>
      </x:c>
    </x:row>
    <x:row r="7">
      <x:c r="A7" s="13" t="str">
        <x:v>Calculations</x:v>
      </x:c>
      <x:c r="B7" s="14" t="str">
        <x:v>Formula-driven analysis; no embedded business assumptions</x:v>
      </x:c>
    </x:row>
    <x:row r="8">
      <x:c r="A8" s="13" t="str">
        <x:v>Outputs</x:v>
      </x:c>
      <x:c r="B8" s="14" t="str">
        <x:v>Key conclusions linked to summary and transaction analyses</x:v>
      </x:c>
    </x:row>
    <x:row r="9">
      <x:c r="A9" s="13" t="str">
        <x:v>Checks</x:v>
      </x:c>
      <x:c r="B9" s="14" t="str">
        <x:v>Visible reconciliation and reasonableness tests</x:v>
      </x:c>
    </x:row>
    <x:row r="11">
      <x:c r="A11" s="16" t="str">
        <x:v>To be completed in the applicable project phase.</x:v>
      </x:c>
      <x:c r="B11" s="16"/>
      <x:c r="C11" s="16"/>
      <x:c r="D11" s="16"/>
      <x:c r="E11" s="16"/>
      <x:c r="F11" s="16"/>
      <x:c r="G11" s="16"/>
      <x:c r="H11" s="16"/>
    </x:row>
  </x:sheetData>
  <x:mergeCells>
    <x:mergeCell ref="A1:H1"/>
    <x:mergeCell ref="A2:H2"/>
    <x:mergeCell ref="A5:H5"/>
    <x:mergeCell ref="A11:H11"/>
  </x:mergeCells>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39" hidden="0" customWidth="1"/>
    <x:col min="2" max="2" width="14" hidden="0" customWidth="1"/>
    <x:col min="3" max="3" width="14" hidden="0" customWidth="1"/>
    <x:col min="4" max="4" width="14" hidden="0" customWidth="1"/>
    <x:col min="5" max="5" width="14" hidden="0" customWidth="1"/>
    <x:col min="6" max="6" width="13" hidden="0" customWidth="1"/>
    <x:col min="7" max="7" width="34" hidden="0" customWidth="1"/>
  </x:cols>
  <x:sheetData>
    <x:row r="1" ht="26" customHeight="1">
      <x:c r="A1" s="119" t="str">
        <x:v>Model Checks</x:v>
      </x:c>
      <x:c r="B1" s="119"/>
      <x:c r="C1" s="119"/>
      <x:c r="D1" s="119"/>
      <x:c r="E1" s="119"/>
      <x:c r="F1" s="119"/>
      <x:c r="G1" s="119"/>
    </x:row>
    <x:row r="2">
      <x:c r="A2" s="122"/>
      <x:c r="B2" s="122"/>
      <x:c r="C2" s="122"/>
      <x:c r="D2" s="122"/>
      <x:c r="E2" s="122"/>
      <x:c r="F2" s="122"/>
      <x:c r="G2" s="122"/>
    </x:row>
    <x:row r="3">
      <x:c r="A3" s="133" t="str">
        <x:v>Overall model status</x:v>
      </x:c>
      <x:c r="B3" s="861" t="str">
        <x:v>SYNERGY ANALYSIS COMPLETE</x:v>
      </x:c>
      <x:c r="C3" s="122"/>
      <x:c r="D3" s="122"/>
      <x:c r="E3" s="122"/>
      <x:c r="F3" s="122"/>
      <x:c r="G3" s="122"/>
    </x:row>
    <x:row r="4">
      <x:c r="A4" s="122"/>
      <x:c r="B4" s="122"/>
      <x:c r="C4" s="122"/>
      <x:c r="D4" s="122"/>
      <x:c r="E4" s="122"/>
      <x:c r="F4" s="122"/>
      <x:c r="G4" s="122"/>
    </x:row>
    <x:row r="5">
      <x:c r="A5" s="121" t="str">
        <x:v>Check</x:v>
      </x:c>
      <x:c r="B5" s="121" t="str">
        <x:v>Actual</x:v>
      </x:c>
      <x:c r="C5" s="121" t="str">
        <x:v>Expected</x:v>
      </x:c>
      <x:c r="D5" s="121" t="str">
        <x:v>Difference</x:v>
      </x:c>
      <x:c r="E5" s="121" t="str">
        <x:v>Tolerance</x:v>
      </x:c>
      <x:c r="F5" s="121" t="str">
        <x:v>Status</x:v>
      </x:c>
      <x:c r="G5" s="121" t="str">
        <x:v>Fix / location</x:v>
      </x:c>
    </x:row>
    <x:row r="6" ht="15" hidden="0" customHeight="1">
      <x:c r="A6" s="122" t="str">
        <x:v>Source completeness</x:v>
      </x:c>
      <x:c r="B6" s="134" t="n">
        <x:f>COUNTA('Sources'!A4:A100)</x:f>
        <x:v>32</x:v>
      </x:c>
      <x:c r="C6" s="135" t="n">
        <x:v>32</x:v>
      </x:c>
      <x:c r="D6" s="135" t="n">
        <x:f>B6-C6</x:f>
        <x:v>0</x:v>
      </x:c>
      <x:c r="E6" s="135" t="n">
        <x:v>0</x:v>
      </x:c>
      <x:c r="F6" s="122" t="str">
        <x:f>IF(ABS(D6)&lt;=E6,"OK","FAIL")</x:f>
        <x:v>OK</x:v>
      </x:c>
      <x:c r="G6" s="124" t="str">
        <x:v>Sources</x:v>
      </x:c>
    </x:row>
    <x:row r="7" ht="15" hidden="0" customHeight="1">
      <x:c r="A7" s="122" t="str">
        <x:v>CGNX gross profit tie-out</x:v>
      </x:c>
      <x:c r="B7" s="134" t="n">
        <x:f>MAX(ABS('CGNX Historical'!B12),ABS('CGNX Historical'!C12),ABS('CGNX Historical'!D12),ABS('CGNX Historical'!E12),ABS('CGNX Historical'!F12))</x:f>
        <x:v>0</x:v>
      </x:c>
      <x:c r="C7" s="135" t="n">
        <x:v>0</x:v>
      </x:c>
      <x:c r="D7" s="135" t="n">
        <x:f>B7-C7</x:f>
        <x:v>0</x:v>
      </x:c>
      <x:c r="E7" s="135" t="n">
        <x:v>0.1</x:v>
      </x:c>
      <x:c r="F7" s="122" t="str">
        <x:f>IF(ABS(D7)&lt;=E7,"OK","FAIL")</x:f>
        <x:v>OK</x:v>
      </x:c>
      <x:c r="G7" s="124" t="str">
        <x:v>CGNX Historical row 12</x:v>
      </x:c>
    </x:row>
    <x:row r="8" ht="15" hidden="0" customHeight="1">
      <x:c r="A8" s="122" t="str">
        <x:v>CGNX diluted EPS tie-out</x:v>
      </x:c>
      <x:c r="B8" s="134" t="n">
        <x:f>MAX(ABS('CGNX Historical'!B30),ABS('CGNX Historical'!C30),ABS('CGNX Historical'!D30),ABS('CGNX Historical'!E30),ABS('CGNX Historical'!F30))</x:f>
        <x:v>0.004911737954128026</x:v>
      </x:c>
      <x:c r="C8" s="135" t="n">
        <x:v>0</x:v>
      </x:c>
      <x:c r="D8" s="135" t="n">
        <x:f>B8-C8</x:f>
        <x:v>0.004911737954128026</x:v>
      </x:c>
      <x:c r="E8" s="135" t="n">
        <x:v>0.01</x:v>
      </x:c>
      <x:c r="F8" s="122" t="str">
        <x:f>IF(ABS(D8)&lt;=E8,"OK","FAIL")</x:f>
        <x:v>OK</x:v>
      </x:c>
      <x:c r="G8" s="124" t="str">
        <x:v>CGNX Historical row 30</x:v>
      </x:c>
    </x:row>
    <x:row r="9" ht="15" hidden="0" customHeight="1">
      <x:c r="A9" s="122" t="str">
        <x:v>CGNX balance sheet tie-out</x:v>
      </x:c>
      <x:c r="B9" s="134" t="n">
        <x:f>MAX(ABS('CGNX Historical'!B59),ABS('CGNX Historical'!C59),ABS('CGNX Historical'!D59),ABS('CGNX Historical'!E59),ABS('CGNX Historical'!F59))</x:f>
        <x:v>2.2737367544323206e-13</x:v>
      </x:c>
      <x:c r="C9" s="135" t="n">
        <x:v>0</x:v>
      </x:c>
      <x:c r="D9" s="135" t="n">
        <x:f>B9-C9</x:f>
        <x:v>2.2737367544323206e-13</x:v>
      </x:c>
      <x:c r="E9" s="135" t="n">
        <x:v>0.1</x:v>
      </x:c>
      <x:c r="F9" s="122" t="str">
        <x:f>IF(ABS(D9)&lt;=E9,"OK","FAIL")</x:f>
        <x:v>OK</x:v>
      </x:c>
      <x:c r="G9" s="124" t="str">
        <x:v>CGNX Historical row 59</x:v>
      </x:c>
    </x:row>
    <x:row r="10" ht="24" hidden="0" customHeight="1">
      <x:c r="A10" s="122" t="str">
        <x:v>ROK diluted EPS tie-out</x:v>
      </x:c>
      <x:c r="B10" s="134" t="n">
        <x:f>MAX(ABS('ROK Historical'!B20),ABS('ROK Historical'!C20),ABS('ROK Historical'!D20),ABS('ROK Historical'!E20),ABS('ROK Historical'!F20))</x:f>
        <x:v>0.048269896193772865</x:v>
      </x:c>
      <x:c r="C10" s="135" t="n">
        <x:v>0</x:v>
      </x:c>
      <x:c r="D10" s="135" t="n">
        <x:f>B10-C10</x:f>
        <x:v>0.048269896193772865</x:v>
      </x:c>
      <x:c r="E10" s="135" t="n">
        <x:v>0.05</x:v>
      </x:c>
      <x:c r="F10" s="122" t="str">
        <x:f>IF(ABS(D10)&lt;=E10,"OK","FAIL")</x:f>
        <x:v>OK</x:v>
      </x:c>
      <x:c r="G10" s="124" t="str">
        <x:v>ROK Historical row 20; tolerance reflects rounded $mm and share disclosures</x:v>
      </x:c>
    </x:row>
    <x:row r="11" ht="15" hidden="0" customHeight="1">
      <x:c r="A11" s="122" t="str">
        <x:v>ROK balance sheet tie-out</x:v>
      </x:c>
      <x:c r="B11" s="134" t="n">
        <x:f>MAX(ABS('ROK Historical'!B47),ABS('ROK Historical'!C47),ABS('ROK Historical'!D47),ABS('ROK Historical'!E47),ABS('ROK Historical'!F47))</x:f>
        <x:v>0</x:v>
      </x:c>
      <x:c r="C11" s="135" t="n">
        <x:v>0</x:v>
      </x:c>
      <x:c r="D11" s="135" t="n">
        <x:f>B11-C11</x:f>
        <x:v>0</x:v>
      </x:c>
      <x:c r="E11" s="135" t="n">
        <x:v>0.1</x:v>
      </x:c>
      <x:c r="F11" s="122" t="str">
        <x:f>IF(ABS(D11)&lt;=E11,"OK","FAIL")</x:f>
        <x:v>OK</x:v>
      </x:c>
      <x:c r="G11" s="124" t="str">
        <x:v>ROK Historical row 47</x:v>
      </x:c>
    </x:row>
    <x:row r="12">
      <x:c r="A12" s="184" t="str">
        <x:v>CGNX active revenue-growth link</x:v>
      </x:c>
      <x:c r="B12" s="245" t="n">
        <x:f>ABS('CGNX Operating Model'!E21-'CGNX Operating Model'!B7)</x:f>
        <x:v>0</x:v>
      </x:c>
      <x:c r="C12" s="245" t="n">
        <x:v>0</x:v>
      </x:c>
      <x:c r="D12" s="245" t="n">
        <x:f>B12-C12</x:f>
        <x:v>0</x:v>
      </x:c>
      <x:c r="E12" s="245" t="n">
        <x:v>0.000001</x:v>
      </x:c>
      <x:c r="F12" s="245" t="str">
        <x:f>IF(ABS(D12)&lt;=E12,"OK","ERROR")</x:f>
        <x:v>OK</x:v>
      </x:c>
      <x:c r="G12" s="186" t="str">
        <x:v>CGNX Operating Model row 21 / active drivers</x:v>
      </x:c>
    </x:row>
    <x:row r="13">
      <x:c r="A13" s="187" t="str">
        <x:v>CGNX operating-income identity</x:v>
      </x:c>
      <x:c r="B13" s="246" t="n">
        <x:f>MAX(ABS('CGNX Operating Model'!E29-('CGNX Operating Model'!E23-'CGNX Operating Model'!E25-'CGNX Operating Model'!E27)),ABS('CGNX Operating Model'!F29-('CGNX Operating Model'!F23-'CGNX Operating Model'!F25-'CGNX Operating Model'!F27)),ABS('CGNX Operating Model'!G29-('CGNX Operating Model'!G23-'CGNX Operating Model'!G25-'CGNX Operating Model'!G27)),ABS('CGNX Operating Model'!H29-('CGNX Operating Model'!H23-'CGNX Operating Model'!H25-'CGNX Operating Model'!H27)),ABS('CGNX Operating Model'!I29-('CGNX Operating Model'!I23-'CGNX Operating Model'!I25-'CGNX Operating Model'!I27)))</x:f>
        <x:v>0</x:v>
      </x:c>
      <x:c r="C13" s="246" t="n">
        <x:v>0</x:v>
      </x:c>
      <x:c r="D13" s="246" t="n">
        <x:f>B13-C13</x:f>
        <x:v>0</x:v>
      </x:c>
      <x:c r="E13" s="246" t="n">
        <x:v>0.1</x:v>
      </x:c>
      <x:c r="F13" s="246" t="str">
        <x:f>IF(ABS(D13)&lt;=E13,"OK","ERROR")</x:f>
        <x:v>OK</x:v>
      </x:c>
      <x:c r="G13" s="189" t="str">
        <x:v>CGNX Operating Model row 29</x:v>
      </x:c>
    </x:row>
    <x:row r="14">
      <x:c r="A14" s="187" t="str">
        <x:v>CGNX UFCF identity</x:v>
      </x:c>
      <x:c r="B14" s="246" t="n">
        <x:f>MAX(ABS('CGNX Operating Model'!E48-('CGNX Operating Model'!E43+'CGNX Operating Model'!E44+'CGNX Operating Model'!E45-'CGNX Operating Model'!E47)),ABS('CGNX Operating Model'!F48-('CGNX Operating Model'!F43+'CGNX Operating Model'!F44+'CGNX Operating Model'!F45-'CGNX Operating Model'!F47)),ABS('CGNX Operating Model'!G48-('CGNX Operating Model'!G43+'CGNX Operating Model'!G44+'CGNX Operating Model'!G45-'CGNX Operating Model'!G47)),ABS('CGNX Operating Model'!H48-('CGNX Operating Model'!H43+'CGNX Operating Model'!H44+'CGNX Operating Model'!H45-'CGNX Operating Model'!H47)),ABS('CGNX Operating Model'!I48-('CGNX Operating Model'!I43+'CGNX Operating Model'!I44+'CGNX Operating Model'!I45-'CGNX Operating Model'!I47)))</x:f>
        <x:v>0</x:v>
      </x:c>
      <x:c r="C14" s="246" t="n">
        <x:v>0</x:v>
      </x:c>
      <x:c r="D14" s="246" t="n">
        <x:f>B14-C14</x:f>
        <x:v>0</x:v>
      </x:c>
      <x:c r="E14" s="246" t="n">
        <x:v>0.1</x:v>
      </x:c>
      <x:c r="F14" s="246" t="str">
        <x:f>IF(ABS(D14)&lt;=E14,"OK","ERROR")</x:f>
        <x:v>OK</x:v>
      </x:c>
      <x:c r="G14" s="189" t="str">
        <x:v>CGNX Operating Model row 48</x:v>
      </x:c>
    </x:row>
    <x:row r="15">
      <x:c r="A15" s="190" t="str">
        <x:v>ROK FY2026 adjusted EPS guidance</x:v>
      </x:c>
      <x:c r="B15" s="247" t="n">
        <x:f>ABS('ROK Forecast'!E11-'Control'!C58)</x:f>
        <x:v>0</x:v>
      </x:c>
      <x:c r="C15" s="247" t="n">
        <x:v>0</x:v>
      </x:c>
      <x:c r="D15" s="247" t="n">
        <x:f>B15-C15</x:f>
        <x:v>0</x:v>
      </x:c>
      <x:c r="E15" s="247" t="n">
        <x:v>0.01</x:v>
      </x:c>
      <x:c r="F15" s="247" t="str">
        <x:f>IF(ABS(D15)&lt;=E15,"OK","ERROR")</x:f>
        <x:v>OK</x:v>
      </x:c>
      <x:c r="G15" s="192" t="str">
        <x:v>ROK Forecast row 11 / Control row 58</x:v>
      </x:c>
    </x:row>
    <x:row r="16">
      <x:c r="A16" s="184" t="str">
        <x:v>DCF UFCF links</x:v>
      </x:c>
      <x:c r="B16" s="245" t="n">
        <x:f>MAX(ABS('DCF'!B25-'CGNX Operating Model'!E48),ABS('DCF'!C25-'CGNX Operating Model'!F48),ABS('DCF'!D25-'CGNX Operating Model'!G48),ABS('DCF'!E25-'CGNX Operating Model'!H48),ABS('DCF'!F25-'CGNX Operating Model'!I48))</x:f>
        <x:v>0</x:v>
      </x:c>
      <x:c r="C16" s="245" t="n">
        <x:v>0</x:v>
      </x:c>
      <x:c r="D16" s="245" t="n">
        <x:f>B16-C16</x:f>
        <x:v>0</x:v>
      </x:c>
      <x:c r="E16" s="245" t="n">
        <x:v>0.1</x:v>
      </x:c>
      <x:c r="F16" s="245" t="str">
        <x:f>IF(ABS(D16)&lt;=E16,"OK","ERROR")</x:f>
        <x:v>OK</x:v>
      </x:c>
      <x:c r="G16" s="186" t="str">
        <x:v>DCF row 25 / CGNX Operating Model row 48</x:v>
      </x:c>
    </x:row>
    <x:row r="17">
      <x:c r="A17" s="187" t="str">
        <x:v>DCF forecast PV subtotal</x:v>
      </x:c>
      <x:c r="B17" s="246" t="n">
        <x:f>ABS('DCF'!B37-SUM('DCF'!B28:F28))</x:f>
        <x:v>0</x:v>
      </x:c>
      <x:c r="C17" s="246" t="n">
        <x:v>0</x:v>
      </x:c>
      <x:c r="D17" s="246" t="n">
        <x:f>B17-C17</x:f>
        <x:v>0</x:v>
      </x:c>
      <x:c r="E17" s="246" t="n">
        <x:v>0.1</x:v>
      </x:c>
      <x:c r="F17" s="246" t="str">
        <x:f>IF(ABS(D17)&lt;=E17,"OK","ERROR")</x:f>
        <x:v>OK</x:v>
      </x:c>
      <x:c r="G17" s="189" t="str">
        <x:v>DCF row 37</x:v>
      </x:c>
    </x:row>
    <x:row r="18">
      <x:c r="A18" s="187" t="str">
        <x:v>DCF enterprise-value bridge</x:v>
      </x:c>
      <x:c r="B18" s="246" t="n">
        <x:f>ABS('DCF'!B38-SUM('DCF'!B36:B37))</x:f>
        <x:v>0</x:v>
      </x:c>
      <x:c r="C18" s="246" t="n">
        <x:v>0</x:v>
      </x:c>
      <x:c r="D18" s="246" t="n">
        <x:f>B18-C18</x:f>
        <x:v>0</x:v>
      </x:c>
      <x:c r="E18" s="246" t="n">
        <x:v>0.1</x:v>
      </x:c>
      <x:c r="F18" s="246" t="str">
        <x:f>IF(ABS(D18)&lt;=E18,"OK","ERROR")</x:f>
        <x:v>OK</x:v>
      </x:c>
      <x:c r="G18" s="189" t="str">
        <x:v>DCF row 38</x:v>
      </x:c>
    </x:row>
    <x:row r="19">
      <x:c r="A19" s="187" t="str">
        <x:v>DCF equity-value bridge</x:v>
      </x:c>
      <x:c r="B19" s="246" t="n">
        <x:f>ABS('DCF'!B41-SUM('DCF'!B38:B40))</x:f>
        <x:v>0</x:v>
      </x:c>
      <x:c r="C19" s="246" t="n">
        <x:v>0</x:v>
      </x:c>
      <x:c r="D19" s="246" t="n">
        <x:f>B19-C19</x:f>
        <x:v>0</x:v>
      </x:c>
      <x:c r="E19" s="246" t="n">
        <x:v>0.1</x:v>
      </x:c>
      <x:c r="F19" s="246" t="str">
        <x:f>IF(ABS(D19)&lt;=E19,"OK","ERROR")</x:f>
        <x:v>OK</x:v>
      </x:c>
      <x:c r="G19" s="189" t="str">
        <x:v>DCF row 41</x:v>
      </x:c>
    </x:row>
    <x:row r="20">
      <x:c r="A20" s="187" t="str">
        <x:v>DCF WACC exceeds terminal growth</x:v>
      </x:c>
      <x:c r="B20" s="246" t="n">
        <x:f>IF('DCF'!B17&gt;'DCF'!B18,0,1)</x:f>
        <x:v>0</x:v>
      </x:c>
      <x:c r="C20" s="246" t="n">
        <x:v>0</x:v>
      </x:c>
      <x:c r="D20" s="246" t="n">
        <x:f>B20-C20</x:f>
        <x:v>0</x:v>
      </x:c>
      <x:c r="E20" s="246" t="n">
        <x:v>0</x:v>
      </x:c>
      <x:c r="F20" s="246" t="str">
        <x:f>IF(ABS(D20)&lt;=E20,"OK","ERROR")</x:f>
        <x:v>OK</x:v>
      </x:c>
      <x:c r="G20" s="189" t="str">
        <x:v>DCF rows 17-18</x:v>
      </x:c>
    </x:row>
    <x:row r="21">
      <x:c r="A21" s="190" t="str">
        <x:v>DCF sensitivity center tie</x:v>
      </x:c>
      <x:c r="B21" s="247" t="n">
        <x:f>ABS('DCF'!D52-'DCF'!B43)</x:f>
        <x:v>0</x:v>
      </x:c>
      <x:c r="C21" s="247" t="n">
        <x:v>0</x:v>
      </x:c>
      <x:c r="D21" s="247" t="n">
        <x:f>B21-C21</x:f>
        <x:v>0</x:v>
      </x:c>
      <x:c r="E21" s="247" t="n">
        <x:v>0.01</x:v>
      </x:c>
      <x:c r="F21" s="247" t="str">
        <x:f>IF(ABS(D21)&lt;=E21,"OK","ERROR")</x:f>
        <x:v>OK</x:v>
      </x:c>
      <x:c r="G21" s="192" t="str">
        <x:v>DCF sensitivity cell D52</x:v>
      </x:c>
    </x:row>
    <x:row r="22">
      <x:c r="A22" s="484" t="str">
        <x:v>Trading comps target-metric links</x:v>
      </x:c>
      <x:c r="B22" s="484" t="n">
        <x:f>ABS('Trading Comps'!B24-'CGNX Operating Model'!E20)+ABS('Trading Comps'!B25-'CGNX Operating Model'!E32)+ABS('Trading Comps'!B28-'CGNX Operating Model'!E40)+ABS('Trading Comps'!B29-'DCF'!B19)+ABS('Trading Comps'!B31-'DCF'!B21)</x:f>
        <x:v>0</x:v>
      </x:c>
      <x:c r="C22" s="484" t="n">
        <x:v>0</x:v>
      </x:c>
      <x:c r="D22" s="484" t="n">
        <x:f>B22-C22</x:f>
        <x:v>0</x:v>
      </x:c>
      <x:c r="E22" s="484" t="n">
        <x:v>0.01</x:v>
      </x:c>
      <x:c r="F22" s="486" t="str">
        <x:f>IF(ABS(D22)&lt;=E22,"OK","CHECK")</x:f>
        <x:v>OK</x:v>
      </x:c>
      <x:c r="G22" s="484" t="str">
        <x:v>Trading Comps rows 24-31</x:v>
      </x:c>
    </x:row>
    <x:row r="23">
      <x:c r="A23" s="484" t="str">
        <x:v>Trading comps quartile ordering</x:v>
      </x:c>
      <x:c r="B23" s="484" t="n">
        <x:f>MIN('Trading Comps'!H35-'Trading Comps'!G35,'Trading Comps'!I35-'Trading Comps'!H35,'Trading Comps'!H36-'Trading Comps'!G36,'Trading Comps'!I36-'Trading Comps'!H36,'Trading Comps'!H37-'Trading Comps'!G37,'Trading Comps'!I37-'Trading Comps'!H37,'Trading Comps'!H38-'Trading Comps'!G38,'Trading Comps'!I38-'Trading Comps'!H38)</x:f>
        <x:v>2.422662640289147</x:v>
      </x:c>
      <x:c r="C23" s="484" t="n">
        <x:v>0</x:v>
      </x:c>
      <x:c r="D23" s="484" t="n">
        <x:f>MIN(0,B23-C23)</x:f>
        <x:v>0</x:v>
      </x:c>
      <x:c r="E23" s="484" t="n">
        <x:v>0</x:v>
      </x:c>
      <x:c r="F23" s="486" t="str">
        <x:f>IF(ABS(D23)&lt;=E23,"OK","CHECK")</x:f>
        <x:v>OK</x:v>
      </x:c>
      <x:c r="G23" s="484" t="str">
        <x:v>Trading Comps rows 35-38</x:v>
      </x:c>
    </x:row>
    <x:row r="24">
      <x:c r="A24" s="484" t="str">
        <x:v>Trading comps EV / equity bridge</x:v>
      </x:c>
      <x:c r="B24" s="484" t="n">
        <x:f>ABS('Trading Comps'!G35-(('Trading Comps'!C35*'Trading Comps'!D35+'Trading Comps'!B29-'Trading Comps'!B30)/'Trading Comps'!B31))</x:f>
        <x:v>0</x:v>
      </x:c>
      <x:c r="C24" s="484" t="n">
        <x:v>0</x:v>
      </x:c>
      <x:c r="D24" s="484" t="n">
        <x:f>B24-C24</x:f>
        <x:v>0</x:v>
      </x:c>
      <x:c r="E24" s="484" t="n">
        <x:v>0.01</x:v>
      </x:c>
      <x:c r="F24" s="486" t="str">
        <x:f>IF(ABS(D24)&lt;=E24,"OK","CHECK")</x:f>
        <x:v>OK</x:v>
      </x:c>
      <x:c r="G24" s="484" t="str">
        <x:v>Trading Comps row 35</x:v>
      </x:c>
    </x:row>
    <x:row r="25">
      <x:c r="A25" s="484" t="str">
        <x:v>Precedent target-metric links</x:v>
      </x:c>
      <x:c r="B25" s="484" t="n">
        <x:f>ABS('Precedent Transactions'!B24-'CGNX Operating Model'!E20)+ABS('Precedent Transactions'!B25-'CGNX Operating Model'!E32)+ABS('Precedent Transactions'!B27-'DCF'!B19)+ABS('Precedent Transactions'!B29-'DCF'!B21)</x:f>
        <x:v>0</x:v>
      </x:c>
      <x:c r="C25" s="484" t="n">
        <x:v>0</x:v>
      </x:c>
      <x:c r="D25" s="484" t="n">
        <x:f>B25-C25</x:f>
        <x:v>0</x:v>
      </x:c>
      <x:c r="E25" s="484" t="n">
        <x:v>0.01</x:v>
      </x:c>
      <x:c r="F25" s="597" t="str">
        <x:f>IF(ABS(D25)&lt;=E25,"OK","CHECK")</x:f>
        <x:v>OK</x:v>
      </x:c>
      <x:c r="G25" s="484" t="str">
        <x:v>Precedent Transactions rows 24-29</x:v>
      </x:c>
    </x:row>
    <x:row r="26">
      <x:c r="A26" s="484" t="str">
        <x:v>Precedent multiple calculations</x:v>
      </x:c>
      <x:c r="B26" s="484" t="n">
        <x:f>ABS('Precedent Transactions'!J7-'Precedent Transactions'!F7/'Precedent Transactions'!G7)+ABS('Precedent Transactions'!K8-'Precedent Transactions'!F8/'Precedent Transactions'!H8)+ABS('Precedent Transactions'!L8-'Precedent Transactions'!F8/'Precedent Transactions'!I8)</x:f>
        <x:v>0</x:v>
      </x:c>
      <x:c r="C26" s="484" t="n">
        <x:v>0</x:v>
      </x:c>
      <x:c r="D26" s="484" t="n">
        <x:f>B26-C26</x:f>
        <x:v>0</x:v>
      </x:c>
      <x:c r="E26" s="484" t="n">
        <x:v>0.01</x:v>
      </x:c>
      <x:c r="F26" s="597" t="str">
        <x:f>IF(ABS(D26)&lt;=E26,"OK","CHECK")</x:f>
        <x:v>OK</x:v>
      </x:c>
      <x:c r="G26" s="484" t="str">
        <x:v>Precedent Transactions rows 7-13</x:v>
      </x:c>
    </x:row>
    <x:row r="27">
      <x:c r="A27" s="484" t="str">
        <x:v>Precedent quartile ordering</x:v>
      </x:c>
      <x:c r="B27" s="484" t="n">
        <x:f>MIN('Precedent Transactions'!H35-'Precedent Transactions'!G35,'Precedent Transactions'!I35-'Precedent Transactions'!H35,'Precedent Transactions'!H36-'Precedent Transactions'!G36,'Precedent Transactions'!I36-'Precedent Transactions'!H36,'Precedent Transactions'!H37-'Precedent Transactions'!G37,'Precedent Transactions'!I37-'Precedent Transactions'!H37,'Precedent Transactions'!H38-'Precedent Transactions'!G38,'Precedent Transactions'!I38-'Precedent Transactions'!H38)</x:f>
        <x:v>1.1881448963817292</x:v>
      </x:c>
      <x:c r="C27" s="484" t="n">
        <x:v>0</x:v>
      </x:c>
      <x:c r="D27" s="484" t="n">
        <x:f>MIN(0,B27-C27)</x:f>
        <x:v>0</x:v>
      </x:c>
      <x:c r="E27" s="484" t="n">
        <x:v>0</x:v>
      </x:c>
      <x:c r="F27" s="597" t="str">
        <x:f>IF(ABS(D27)&lt;=E27,"OK","CHECK")</x:f>
        <x:v>OK</x:v>
      </x:c>
      <x:c r="G27" s="484" t="str">
        <x:v>Precedent Transactions rows 35-38</x:v>
      </x:c>
    </x:row>
    <x:row r="28">
      <x:c r="A28" s="484" t="str">
        <x:v>Valuation summary source links</x:v>
      </x:c>
      <x:c r="B28" s="484" t="n">
        <x:f>ABS('Valuation Summary'!B6-'Precedent Transactions'!B30)+ABS('Valuation Summary'!B14-'DCF'!C53)+ABS('Valuation Summary'!C15-'Trading Comps'!H35)+ABS('Valuation Summary'!D22-'Precedent Transactions'!I38)</x:f>
        <x:v>0</x:v>
      </x:c>
      <x:c r="C28" s="484" t="n">
        <x:v>0</x:v>
      </x:c>
      <x:c r="D28" s="484" t="n">
        <x:f>B28-C28</x:f>
        <x:v>0</x:v>
      </x:c>
      <x:c r="E28" s="484" t="n">
        <x:v>0.01</x:v>
      </x:c>
      <x:c r="F28" s="705" t="str">
        <x:f>IF(ABS(D28)&lt;=E28,"OK","CHECK")</x:f>
        <x:v>OK</x:v>
      </x:c>
      <x:c r="G28" s="484" t="str">
        <x:v>Valuation Summary rows 6 and 14-23</x:v>
      </x:c>
    </x:row>
    <x:row r="29">
      <x:c r="A29" s="484" t="str">
        <x:v>Valuation summary range ordering</x:v>
      </x:c>
      <x:c r="B29" s="484" t="n">
        <x:f>MIN('Valuation Summary'!C14-'Valuation Summary'!B14,'Valuation Summary'!D14-'Valuation Summary'!C14,'Valuation Summary'!C15-'Valuation Summary'!B15,'Valuation Summary'!D15-'Valuation Summary'!C15,'Valuation Summary'!C24-'Valuation Summary'!B24,'Valuation Summary'!D24-'Valuation Summary'!C24)</x:f>
        <x:v>2.838179172040391</x:v>
      </x:c>
      <x:c r="C29" s="484" t="n">
        <x:v>0</x:v>
      </x:c>
      <x:c r="D29" s="484" t="n">
        <x:f>MIN(0,B29-C29)</x:f>
        <x:v>0</x:v>
      </x:c>
      <x:c r="E29" s="484" t="n">
        <x:v>0</x:v>
      </x:c>
      <x:c r="F29" s="705" t="str">
        <x:f>IF(ABS(D29)&lt;=E29,"OK","CHECK")</x:f>
        <x:v>OK</x:v>
      </x:c>
      <x:c r="G29" s="484" t="str">
        <x:v>Valuation Summary rows 14-24</x:v>
      </x:c>
    </x:row>
    <x:row r="30">
      <x:c r="A30" s="484" t="str">
        <x:v>Illustrative offer bridge</x:v>
      </x:c>
      <x:c r="B30" s="484" t="n">
        <x:f>ABS('Valuation Summary'!F6-'Valuation Summary'!B9*'DCF'!B21)+ABS('Valuation Summary'!F7-('Valuation Summary'!F6-'DCF'!B19+'DCF'!B20))</x:f>
        <x:v>0</x:v>
      </x:c>
      <x:c r="C30" s="484" t="n">
        <x:v>0</x:v>
      </x:c>
      <x:c r="D30" s="484" t="n">
        <x:f>B30-C30</x:f>
        <x:v>0</x:v>
      </x:c>
      <x:c r="E30" s="484" t="n">
        <x:v>0.01</x:v>
      </x:c>
      <x:c r="F30" s="705" t="str">
        <x:f>IF(ABS(D30)&lt;=E30,"OK","CHECK")</x:f>
        <x:v>OK</x:v>
      </x:c>
      <x:c r="G30" s="484" t="str">
        <x:v>Valuation Summary rows 6-10</x:v>
      </x:c>
    </x:row>
    <x:row r="31">
      <x:c r="A31" s="484" t="str">
        <x:v>Acquisition range clears unaffected price</x:v>
      </x:c>
      <x:c r="B31" s="484" t="n">
        <x:f>'Valuation Summary'!B8-'Valuation Summary'!B6</x:f>
        <x:v>15.270000000000003</x:v>
      </x:c>
      <x:c r="C31" s="484" t="n">
        <x:v>0</x:v>
      </x:c>
      <x:c r="D31" s="484" t="n">
        <x:f>MIN(0,B31-C31)</x:f>
        <x:v>0</x:v>
      </x:c>
      <x:c r="E31" s="484" t="n">
        <x:v>0</x:v>
      </x:c>
      <x:c r="F31" s="705" t="str">
        <x:f>IF(ABS(D31)&lt;=E31,"OK","CHECK")</x:f>
        <x:v>OK</x:v>
      </x:c>
      <x:c r="G31" s="484" t="str">
        <x:v>Valuation Summary rows 6 and 8</x:v>
      </x:c>
    </x:row>
    <x:row r="32">
      <x:c r="A32" s="484" t="str">
        <x:v>Sources and uses balance</x:v>
      </x:c>
      <x:c r="B32" s="484" t="n">
        <x:f>'Sources &amp; Uses'!I28</x:f>
        <x:v>0</x:v>
      </x:c>
      <x:c r="C32" s="484" t="n">
        <x:v>0</x:v>
      </x:c>
      <x:c r="D32" s="484" t="n">
        <x:f>B32-C32</x:f>
        <x:v>0</x:v>
      </x:c>
      <x:c r="E32" s="484" t="n">
        <x:v>0.01</x:v>
      </x:c>
      <x:c r="F32" s="769" t="str">
        <x:f>IF(ABS(D32)&lt;=E32,"OK","CHECK")</x:f>
        <x:v>OK</x:v>
      </x:c>
      <x:c r="G32" s="484" t="str">
        <x:v>Sources &amp; Uses row 28</x:v>
      </x:c>
    </x:row>
    <x:row r="33">
      <x:c r="A33" s="484" t="str">
        <x:v>Consideration mix totals 100%</x:v>
      </x:c>
      <x:c r="B33" s="484" t="n">
        <x:f>'Sources &amp; Uses'!B10+'Sources &amp; Uses'!B11</x:f>
        <x:v>1</x:v>
      </x:c>
      <x:c r="C33" s="484" t="n">
        <x:v>1</x:v>
      </x:c>
      <x:c r="D33" s="484" t="n">
        <x:f>B33-C33</x:f>
        <x:v>0</x:v>
      </x:c>
      <x:c r="E33" s="484" t="n">
        <x:v>0.000001</x:v>
      </x:c>
      <x:c r="F33" s="769" t="str">
        <x:f>IF(ABS(D33)&lt;=E33,"OK","CHECK")</x:f>
        <x:v>OK</x:v>
      </x:c>
      <x:c r="G33" s="484" t="str">
        <x:v>Sources &amp; Uses rows 10-11</x:v>
      </x:c>
    </x:row>
    <x:row r="34">
      <x:c r="A34" s="484" t="str">
        <x:v>Purchase price bridge</x:v>
      </x:c>
      <x:c r="B34" s="484" t="n">
        <x:f>ABS('Sources &amp; Uses'!I6-'Valuation Summary'!F6)+ABS('Sources &amp; Uses'!I9-'Valuation Summary'!F7)</x:f>
        <x:v>0</x:v>
      </x:c>
      <x:c r="C34" s="484" t="n">
        <x:v>0</x:v>
      </x:c>
      <x:c r="D34" s="484" t="n">
        <x:f>B34-C34</x:f>
        <x:v>0</x:v>
      </x:c>
      <x:c r="E34" s="484" t="n">
        <x:v>0.01</x:v>
      </x:c>
      <x:c r="F34" s="769" t="str">
        <x:f>IF(ABS(D34)&lt;=E34,"OK","CHECK")</x:f>
        <x:v>OK</x:v>
      </x:c>
      <x:c r="G34" s="484" t="str">
        <x:v>Sources &amp; Uses rows 6-9</x:v>
      </x:c>
    </x:row>
    <x:row r="35">
      <x:c r="A35" s="484" t="str">
        <x:v>Cash balance above minimum</x:v>
      </x:c>
      <x:c r="B35" s="484" t="n">
        <x:f>'Sources &amp; Uses'!B33-'Sources &amp; Uses'!I44</x:f>
        <x:v>111.04479999999967</x:v>
      </x:c>
      <x:c r="C35" s="484" t="n">
        <x:v>0</x:v>
      </x:c>
      <x:c r="D35" s="484" t="n">
        <x:f>MIN(0,B35-C35)</x:f>
        <x:v>0</x:v>
      </x:c>
      <x:c r="E35" s="484" t="n">
        <x:v>0</x:v>
      </x:c>
      <x:c r="F35" s="769" t="str">
        <x:f>IF(ABS(D35)&lt;=E35,"OK","CHECK")</x:f>
        <x:v>OK</x:v>
      </x:c>
      <x:c r="G35" s="484" t="str">
        <x:v>Sources &amp; Uses rows 33 and 44</x:v>
      </x:c>
    </x:row>
    <x:row r="36">
      <x:c r="A36" s="484" t="str">
        <x:v>Gross leverage below ceiling</x:v>
      </x:c>
      <x:c r="B36" s="484" t="n">
        <x:f>'Sources &amp; Uses'!I39-'Sources &amp; Uses'!B48</x:f>
        <x:v>0.07478121571385232</x:v>
      </x:c>
      <x:c r="C36" s="484" t="n">
        <x:v>0</x:v>
      </x:c>
      <x:c r="D36" s="484" t="n">
        <x:f>MIN(0,B36-C36)</x:f>
        <x:v>0</x:v>
      </x:c>
      <x:c r="E36" s="484" t="n">
        <x:v>0</x:v>
      </x:c>
      <x:c r="F36" s="769" t="str">
        <x:f>IF(ABS(D36)&lt;=E36,"OK","CHECK")</x:f>
        <x:v>OK</x:v>
      </x:c>
      <x:c r="G36" s="484" t="str">
        <x:v>Sources &amp; Uses rows 48 and 39</x:v>
      </x:c>
    </x:row>
    <x:row r="37">
      <x:c r="A37" s="484" t="str">
        <x:v>Stock issuance bridge</x:v>
      </x:c>
      <x:c r="B37" s="484" t="n">
        <x:f>ABS('Sources &amp; Uses'!I33*'Sources &amp; Uses'!I32-'Sources &amp; Uses'!B22)</x:f>
        <x:v>0</x:v>
      </x:c>
      <x:c r="C37" s="484" t="n">
        <x:v>0</x:v>
      </x:c>
      <x:c r="D37" s="484" t="n">
        <x:f>B37-C37</x:f>
        <x:v>0</x:v>
      </x:c>
      <x:c r="E37" s="484" t="n">
        <x:v>0.01</x:v>
      </x:c>
      <x:c r="F37" s="769" t="str">
        <x:f>IF(ABS(D37)&lt;=E37,"OK","CHECK")</x:f>
        <x:v>OK</x:v>
      </x:c>
      <x:c r="G37" s="484" t="str">
        <x:v>Sources &amp; Uses rows 22 and 33</x:v>
      </x:c>
    </x:row>
    <x:row r="38">
      <x:c r="A38" s="484" t="str">
        <x:v>Purchase-accounting bridge</x:v>
      </x:c>
      <x:c r="B38" s="484" t="n">
        <x:f>'Purchase Accounting'!I46</x:f>
        <x:v>0</x:v>
      </x:c>
      <x:c r="C38" s="484" t="n">
        <x:v>0</x:v>
      </x:c>
      <x:c r="D38" s="484" t="n">
        <x:f>B38-C38</x:f>
        <x:v>0</x:v>
      </x:c>
      <x:c r="E38" s="484" t="n">
        <x:v>0.01</x:v>
      </x:c>
      <x:c r="F38" s="814" t="str">
        <x:f>IF(ABS(D38)&lt;=E38,"OK","CHECK")</x:f>
        <x:v>OK</x:v>
      </x:c>
      <x:c r="G38" s="484" t="str">
        <x:v>Purchase Accounting row 46</x:v>
      </x:c>
    </x:row>
    <x:row r="39">
      <x:c r="A39" s="484" t="str">
        <x:v>PPA allocation total</x:v>
      </x:c>
      <x:c r="B39" s="484" t="n">
        <x:f>'Purchase Accounting'!I47</x:f>
        <x:v>0.39</x:v>
      </x:c>
      <x:c r="C39" s="484" t="n">
        <x:v>0.39</x:v>
      </x:c>
      <x:c r="D39" s="484" t="n">
        <x:f>B39-C39</x:f>
        <x:v>0</x:v>
      </x:c>
      <x:c r="E39" s="484" t="n">
        <x:v>0.000001</x:v>
      </x:c>
      <x:c r="F39" s="814" t="str">
        <x:f>IF(ABS(D39)&lt;=E39,"OK","CHECK")</x:f>
        <x:v>OK</x:v>
      </x:c>
      <x:c r="G39" s="484" t="str">
        <x:v>Purchase Accounting row 47</x:v>
      </x:c>
    </x:row>
    <x:row r="40">
      <x:c r="A40" s="484" t="str">
        <x:v>Goodwill remains positive</x:v>
      </x:c>
      <x:c r="B40" s="484" t="n">
        <x:f>'Purchase Accounting'!I48</x:f>
        <x:v>8127.828847999998</x:v>
      </x:c>
      <x:c r="C40" s="484" t="n">
        <x:v>0</x:v>
      </x:c>
      <x:c r="D40" s="484" t="n">
        <x:f>MIN(0,B40-C40)</x:f>
        <x:v>0</x:v>
      </x:c>
      <x:c r="E40" s="484" t="n">
        <x:v>0</x:v>
      </x:c>
      <x:c r="F40" s="814" t="str">
        <x:f>IF(ABS(D40)&lt;=E40,"OK","CHECK")</x:f>
        <x:v>OK</x:v>
      </x:c>
      <x:c r="G40" s="484" t="str">
        <x:v>Purchase Accounting row 48</x:v>
      </x:c>
    </x:row>
    <x:row r="41">
      <x:c r="A41" s="484" t="str">
        <x:v>First-year PPA expense tie-out</x:v>
      </x:c>
      <x:c r="B41" s="484" t="n">
        <x:f>'Purchase Accounting'!I49</x:f>
        <x:v>0</x:v>
      </x:c>
      <x:c r="C41" s="484" t="n">
        <x:v>0</x:v>
      </x:c>
      <x:c r="D41" s="484" t="n">
        <x:f>B41-C41</x:f>
        <x:v>0</x:v>
      </x:c>
      <x:c r="E41" s="484" t="n">
        <x:v>0.01</x:v>
      </x:c>
      <x:c r="F41" s="814" t="str">
        <x:f>IF(ABS(D41)&lt;=E41,"OK","CHECK")</x:f>
        <x:v>OK</x:v>
      </x:c>
      <x:c r="G41" s="484" t="str">
        <x:v>Purchase Accounting row 49</x:v>
      </x:c>
    </x:row>
    <x:row r="42">
      <x:c r="A42" s="484" t="str">
        <x:v>DTL roll-forward</x:v>
      </x:c>
      <x:c r="B42" s="484" t="n">
        <x:f>'Purchase Accounting'!F46-'Purchase Accounting'!F47-'Purchase Accounting'!F48</x:f>
        <x:v>0</x:v>
      </x:c>
      <x:c r="C42" s="484" t="n">
        <x:v>0</x:v>
      </x:c>
      <x:c r="D42" s="484" t="n">
        <x:f>B42-C42</x:f>
        <x:v>0</x:v>
      </x:c>
      <x:c r="E42" s="484" t="n">
        <x:v>0.01</x:v>
      </x:c>
      <x:c r="F42" s="814" t="str">
        <x:f>IF(ABS(D42)&lt;=E42,"OK","CHECK")</x:f>
        <x:v>OK</x:v>
      </x:c>
      <x:c r="G42" s="484" t="str">
        <x:v>Purchase Accounting rows 46-48</x:v>
      </x:c>
    </x:row>
    <x:row r="43">
      <x:c r="A43" s="484" t="str">
        <x:v>A/D buyer EPS tie-out</x:v>
      </x:c>
      <x:c r="B43" s="484" t="n">
        <x:f>'Accretion Dilution'!I37</x:f>
        <x:v>1.7763568394002505e-15</x:v>
      </x:c>
      <x:c r="C43" s="484" t="n">
        <x:v>0</x:v>
      </x:c>
      <x:c r="D43" s="484" t="n">
        <x:f>B43-C43</x:f>
        <x:v>1.7763568394002505e-15</x:v>
      </x:c>
      <x:c r="E43" s="484" t="n">
        <x:v>0.01</x:v>
      </x:c>
      <x:c r="F43" s="853" t="str">
        <x:f>IF(ABS(D43)&lt;=E43,"OK","CHECK")</x:f>
        <x:v>OK</x:v>
      </x:c>
      <x:c r="G43" s="484" t="str">
        <x:v>Accretion Dilution row 37</x:v>
      </x:c>
    </x:row>
    <x:row r="44">
      <x:c r="A44" s="484" t="str">
        <x:v>A/D pro forma net-income identity</x:v>
      </x:c>
      <x:c r="B44" s="484" t="n">
        <x:f>'Accretion Dilution'!I38</x:f>
        <x:v>0</x:v>
      </x:c>
      <x:c r="C44" s="484" t="n">
        <x:v>0</x:v>
      </x:c>
      <x:c r="D44" s="484" t="n">
        <x:f>B44-C44</x:f>
        <x:v>0</x:v>
      </x:c>
      <x:c r="E44" s="484" t="n">
        <x:v>0.01</x:v>
      </x:c>
      <x:c r="F44" s="853" t="str">
        <x:f>IF(ABS(D44)&lt;=E44,"OK","CHECK")</x:f>
        <x:v>OK</x:v>
      </x:c>
      <x:c r="G44" s="484" t="str">
        <x:v>Accretion Dilution row 38</x:v>
      </x:c>
    </x:row>
    <x:row r="45">
      <x:c r="A45" s="484" t="str">
        <x:v>A/D pro forma share-count identity</x:v>
      </x:c>
      <x:c r="B45" s="484" t="n">
        <x:f>'Accretion Dilution'!I39</x:f>
        <x:v>0</x:v>
      </x:c>
      <x:c r="C45" s="484" t="n">
        <x:v>0</x:v>
      </x:c>
      <x:c r="D45" s="484" t="n">
        <x:f>B45-C45</x:f>
        <x:v>0</x:v>
      </x:c>
      <x:c r="E45" s="484" t="n">
        <x:v>0.01</x:v>
      </x:c>
      <x:c r="F45" s="853" t="str">
        <x:f>IF(ABS(D45)&lt;=E45,"OK","CHECK")</x:f>
        <x:v>OK</x:v>
      </x:c>
      <x:c r="G45" s="484" t="str">
        <x:v>Accretion Dilution row 39</x:v>
      </x:c>
    </x:row>
    <x:row r="46">
      <x:c r="A46" s="484" t="str">
        <x:v>A/D accretion formula</x:v>
      </x:c>
      <x:c r="B46" s="484" t="n">
        <x:f>'Accretion Dilution'!I40</x:f>
        <x:v>0</x:v>
      </x:c>
      <x:c r="C46" s="484" t="n">
        <x:v>0</x:v>
      </x:c>
      <x:c r="D46" s="484" t="n">
        <x:f>B46-C46</x:f>
        <x:v>0</x:v>
      </x:c>
      <x:c r="E46" s="484" t="n">
        <x:v>0.000001</x:v>
      </x:c>
      <x:c r="F46" s="853" t="str">
        <x:f>IF(ABS(D46)&lt;=E46,"OK","CHECK")</x:f>
        <x:v>OK</x:v>
      </x:c>
      <x:c r="G46" s="484" t="str">
        <x:v>Accretion Dilution row 40</x:v>
      </x:c>
    </x:row>
    <x:row r="47">
      <x:c r="A47" s="484" t="str">
        <x:v>A/D adjusted EPS bridge</x:v>
      </x:c>
      <x:c r="B47" s="484" t="n">
        <x:f>'Accretion Dilution'!I41</x:f>
        <x:v>0</x:v>
      </x:c>
      <x:c r="C47" s="484" t="n">
        <x:v>0</x:v>
      </x:c>
      <x:c r="D47" s="484" t="n">
        <x:f>B47-C47</x:f>
        <x:v>0</x:v>
      </x:c>
      <x:c r="E47" s="484" t="n">
        <x:v>0.01</x:v>
      </x:c>
      <x:c r="F47" s="853" t="str">
        <x:f>IF(ABS(D47)&lt;=E47,"OK","CHECK")</x:f>
        <x:v>OK</x:v>
      </x:c>
      <x:c r="G47" s="484" t="str">
        <x:v>Accretion Dilution row 41</x:v>
      </x:c>
    </x:row>
    <x:row r="48">
      <x:c r="A48" s="484" t="str">
        <x:v>A/D breakeven synergy neutral EPS</x:v>
      </x:c>
      <x:c r="B48" s="484" t="n">
        <x:f>'Accretion Dilution'!I42</x:f>
        <x:v>0</x:v>
      </x:c>
      <x:c r="C48" s="484" t="n">
        <x:v>0</x:v>
      </x:c>
      <x:c r="D48" s="484" t="n">
        <x:f>B48-C48</x:f>
        <x:v>0</x:v>
      </x:c>
      <x:c r="E48" s="484" t="n">
        <x:v>0.01</x:v>
      </x:c>
      <x:c r="F48" s="853" t="str">
        <x:f>IF(ABS(D48)&lt;=E48,"OK","CHECK")</x:f>
        <x:v>OK</x:v>
      </x:c>
      <x:c r="G48" s="484" t="str">
        <x:v>Accretion Dilution row 42</x:v>
      </x:c>
    </x:row>
    <x:row r="49">
      <x:c r="A49" s="969" t="str">
        <x:v>Synergy category total tie-out</x:v>
      </x:c>
      <x:c r="B49" s="970" t="n">
        <x:f>'Synergies'!D13</x:f>
        <x:v>98.60066300000001</x:v>
      </x:c>
      <x:c r="C49" s="970" t="n">
        <x:f>SUM('Synergies'!D7:D12)</x:f>
        <x:v>98.60066300000001</x:v>
      </x:c>
      <x:c r="D49" s="969" t="n">
        <x:f>B49-C49</x:f>
        <x:v>0</x:v>
      </x:c>
      <x:c r="E49" s="969" t="n">
        <x:v>0.01</x:v>
      </x:c>
      <x:c r="F49" s="969" t="str">
        <x:f>IF(ABS(D49)&lt;=E49,"OK","CHECK")</x:f>
        <x:v>OK</x:v>
      </x:c>
      <x:c r="G49" s="969" t="str">
        <x:v>Synergies rows 7-13</x:v>
      </x:c>
    </x:row>
    <x:row r="50">
      <x:c r="A50" s="971" t="str">
        <x:v>Cost synergy phase-in does not exceed 100%</x:v>
      </x:c>
      <x:c r="B50" s="972" t="n">
        <x:f>MAX('Synergies'!B21:E21)</x:f>
        <x:v>1</x:v>
      </x:c>
      <x:c r="C50" s="972" t="n">
        <x:v>1</x:v>
      </x:c>
      <x:c r="D50" s="971" t="n">
        <x:f>B50-C50</x:f>
        <x:v>0</x:v>
      </x:c>
      <x:c r="E50" s="971" t="n">
        <x:v>0</x:v>
      </x:c>
      <x:c r="F50" s="971" t="str">
        <x:f>IF(ABS(D50)&lt;=E50,"OK","CHECK")</x:f>
        <x:v>OK</x:v>
      </x:c>
      <x:c r="G50" s="971" t="str">
        <x:v>Synergies row 21</x:v>
      </x:c>
    </x:row>
    <x:row r="51">
      <x:c r="A51" s="971" t="str">
        <x:v>Revenue synergy contribution identity</x:v>
      </x:c>
      <x:c r="B51" s="973" t="n">
        <x:f>SUM('Synergies'!B26:E26)</x:f>
        <x:v>103.91195281200001</x:v>
      </x:c>
      <x:c r="C51" s="973" t="n">
        <x:f>SUMPRODUCT('Synergies'!B24:E24,'Synergies'!B25:E25)</x:f>
        <x:v>103.91195281200001</x:v>
      </x:c>
      <x:c r="D51" s="974" t="n">
        <x:f>B51-C51</x:f>
        <x:v>0</x:v>
      </x:c>
      <x:c r="E51" s="974" t="n">
        <x:v>0.01</x:v>
      </x:c>
      <x:c r="F51" s="971" t="str">
        <x:f>IF(ABS(D51)&lt;=E51,"OK","CHECK")</x:f>
        <x:v>OK</x:v>
      </x:c>
      <x:c r="G51" s="971" t="str">
        <x:v>Synergies rows 24-26</x:v>
      </x:c>
    </x:row>
    <x:row r="52">
      <x:c r="A52" s="971" t="str">
        <x:v>Integration-cost pool tie-out</x:v>
      </x:c>
      <x:c r="B52" s="973" t="n">
        <x:f>SUM('Synergies'!B29:E29)</x:f>
        <x:v>147.90099450000002</x:v>
      </x:c>
      <x:c r="C52" s="973" t="n">
        <x:f>'Synergies'!D15</x:f>
        <x:v>147.90099450000002</x:v>
      </x:c>
      <x:c r="D52" s="974" t="n">
        <x:f>B52-C52</x:f>
        <x:v>0</x:v>
      </x:c>
      <x:c r="E52" s="974" t="n">
        <x:v>0.01</x:v>
      </x:c>
      <x:c r="F52" s="971" t="str">
        <x:f>IF(ABS(D52)&lt;=E52,"OK","CHECK")</x:f>
        <x:v>OK</x:v>
      </x:c>
      <x:c r="G52" s="971" t="str">
        <x:v>Synergies rows 15 and 29</x:v>
      </x:c>
    </x:row>
    <x:row r="53">
      <x:c r="A53" s="971" t="str">
        <x:v>Net synergy identity</x:v>
      </x:c>
      <x:c r="B53" s="973" t="n">
        <x:f>SUM('Synergies'!B30:E30)</x:f>
        <x:v>227.16278156200005</x:v>
      </x:c>
      <x:c r="C53" s="973" t="n">
        <x:f>SUM('Synergies'!B27:E27)-SUM('Synergies'!B29:E29)</x:f>
        <x:v>227.16278156200008</x:v>
      </x:c>
      <x:c r="D53" s="974" t="n">
        <x:f>B53-C53</x:f>
        <x:v>-2.842170943040401e-14</x:v>
      </x:c>
      <x:c r="E53" s="974" t="n">
        <x:v>0.01</x:v>
      </x:c>
      <x:c r="F53" s="971" t="str">
        <x:f>IF(ABS(D53)&lt;=E53,"OK","CHECK")</x:f>
        <x:v>OK</x:v>
      </x:c>
      <x:c r="G53" s="971" t="str">
        <x:v>Synergies rows 27-30</x:v>
      </x:c>
    </x:row>
    <x:row r="54">
      <x:c r="A54" s="975" t="str">
        <x:v>Synergy-adjusted EPS bridge</x:v>
      </x:c>
      <x:c r="B54" s="976" t="n">
        <x:f>'Synergies'!L31</x:f>
        <x:v>-0.037439700614551485</x:v>
      </x:c>
      <x:c r="C54" s="976" t="n">
        <x:f>'Synergies'!L30/'Accretion Dilution'!E39-1</x:f>
        <x:v>-0.037439700614551485</x:v>
      </x:c>
      <x:c r="D54" s="977" t="n">
        <x:f>B54-C54</x:f>
        <x:v>0</x:v>
      </x:c>
      <x:c r="E54" s="977" t="n">
        <x:v>0.000001</x:v>
      </x:c>
      <x:c r="F54" s="975" t="str">
        <x:f>IF(ABS(D54)&lt;=E54,"OK","CHECK")</x:f>
        <x:v>OK</x:v>
      </x:c>
      <x:c r="G54" s="975" t="str">
        <x:v>Synergies rows 30-31</x:v>
      </x:c>
    </x:row>
  </x:sheetData>
  <x:mergeCells>
    <x:mergeCell ref="A1:G1"/>
  </x:mergeCells>
  <x:conditionalFormatting sqref="F6:F11">
    <x:cfRule type="containsText" dxfId="0" priority="1" operator="containsText" text="OK"/>
    <x:cfRule type="containsText" dxfId="1" priority="2" operator="containsText" text="FAIL"/>
  </x:conditionalFormatting>
  <x:conditionalFormatting sqref="F12:F15">
    <x:cfRule type="containsText" dxfId="2" priority="3" operator="containsText" text="OK"/>
    <x:cfRule type="containsText" dxfId="3" priority="4" operator="containsText" text="ERROR"/>
  </x:conditionalFormatting>
  <x:conditionalFormatting sqref="F16:F21">
    <x:cfRule type="containsText" dxfId="4" priority="5" operator="containsText" text="OK"/>
    <x:cfRule type="containsText" dxfId="5" priority="6" operator="containsText" text="ERROR"/>
  </x:conditionalFormatting>
  <x:conditionalFormatting sqref="F49:F54">
    <x:cfRule type="containsText" dxfId="17" priority="7" operator="containsText" text="OK"/>
    <x:cfRule type="containsText" dxfId="18" priority="8" operator="containsText" text="CHECK"/>
  </x:conditionalFormatting>
  <x:pageMargins left="0.7" right="0.7" top="0.75" bottom="0.75" header="0.3" footer="0.3"/>
</x:worksheet>
</file>